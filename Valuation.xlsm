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894\OneDrive\Desktop\"/>
    </mc:Choice>
  </mc:AlternateContent>
  <xr:revisionPtr revIDLastSave="0" documentId="13_ncr:1_{7AA78279-F8F2-4FFB-846B-6E77FDE6BB1E}" xr6:coauthVersionLast="47" xr6:coauthVersionMax="47" xr10:uidLastSave="{00000000-0000-0000-0000-000000000000}"/>
  <bookViews>
    <workbookView xWindow="-120" yWindow="-120" windowWidth="20730" windowHeight="11040" tabRatio="829" xr2:uid="{5D257CA1-4683-4EEA-9C9A-CA8F5507CB21}"/>
  </bookViews>
  <sheets>
    <sheet name="Index" sheetId="5" r:id="rId1"/>
    <sheet name="Drivers" sheetId="6" r:id="rId2"/>
    <sheet name="Income Statement" sheetId="1" r:id="rId3"/>
    <sheet name="Financial Position" sheetId="2" r:id="rId4"/>
    <sheet name="DCF Valuation" sheetId="16" r:id="rId5"/>
    <sheet name="Workings -&gt;" sheetId="7" r:id="rId6"/>
    <sheet name="PPE" sheetId="12" r:id="rId7"/>
    <sheet name="WC" sheetId="13" r:id="rId8"/>
    <sheet name="CIE" sheetId="18" r:id="rId9"/>
    <sheet name="WACC" sheetId="19" r:id="rId10"/>
  </sheets>
  <definedNames>
    <definedName name="PBT">'Income Statement'!$17:$17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" l="1"/>
  <c r="E20" i="2"/>
  <c r="I22" i="16" s="1"/>
  <c r="H24" i="16"/>
  <c r="J22" i="16"/>
  <c r="H22" i="16"/>
  <c r="I17" i="16"/>
  <c r="J17" i="16"/>
  <c r="K17" i="16"/>
  <c r="L17" i="16"/>
  <c r="H17" i="16"/>
  <c r="E34" i="2"/>
  <c r="F16" i="1"/>
  <c r="G16" i="1"/>
  <c r="H16" i="1"/>
  <c r="I16" i="1"/>
  <c r="E16" i="1"/>
  <c r="E24" i="1"/>
  <c r="F24" i="1"/>
  <c r="G24" i="1"/>
  <c r="H24" i="1"/>
  <c r="I24" i="1"/>
  <c r="D24" i="1"/>
  <c r="C24" i="1"/>
  <c r="D8" i="12" l="1"/>
  <c r="E6" i="12" s="1"/>
  <c r="C8" i="12"/>
  <c r="F12" i="1"/>
  <c r="G12" i="1"/>
  <c r="H12" i="1"/>
  <c r="I12" i="1"/>
  <c r="E12" i="1"/>
  <c r="E14" i="1"/>
  <c r="D23" i="1"/>
  <c r="C23" i="1"/>
  <c r="H23" i="1" s="1"/>
  <c r="D22" i="1"/>
  <c r="C22" i="1"/>
  <c r="H22" i="1" s="1"/>
  <c r="D21" i="1"/>
  <c r="C21" i="1"/>
  <c r="D20" i="1"/>
  <c r="F20" i="1" s="1"/>
  <c r="C22" i="2"/>
  <c r="D22" i="2"/>
  <c r="D41" i="2"/>
  <c r="C41" i="2"/>
  <c r="I23" i="1" l="1"/>
  <c r="E23" i="1"/>
  <c r="G23" i="1"/>
  <c r="F23" i="1"/>
  <c r="H21" i="1"/>
  <c r="G21" i="1"/>
  <c r="I20" i="1"/>
  <c r="G22" i="1"/>
  <c r="H20" i="1"/>
  <c r="E21" i="1"/>
  <c r="F21" i="1"/>
  <c r="F22" i="1"/>
  <c r="G20" i="1"/>
  <c r="I21" i="1"/>
  <c r="I22" i="1"/>
  <c r="E22" i="1"/>
  <c r="E20" i="1"/>
  <c r="E7" i="1" s="1"/>
  <c r="E13" i="1" s="1"/>
  <c r="C5" i="19"/>
  <c r="C4" i="16"/>
  <c r="C10" i="19"/>
  <c r="K21" i="19" s="1"/>
  <c r="C7" i="19"/>
  <c r="C6" i="19"/>
  <c r="C4" i="19"/>
  <c r="D7" i="13"/>
  <c r="D13" i="13" s="1"/>
  <c r="C7" i="13"/>
  <c r="C13" i="13" s="1"/>
  <c r="D6" i="13"/>
  <c r="D12" i="13" s="1"/>
  <c r="C6" i="13"/>
  <c r="C12" i="13" s="1"/>
  <c r="D5" i="13"/>
  <c r="D11" i="13" s="1"/>
  <c r="C5" i="13"/>
  <c r="C11" i="13" s="1"/>
  <c r="D6" i="12"/>
  <c r="D7" i="12" s="1"/>
  <c r="D11" i="12" s="1"/>
  <c r="I39" i="2"/>
  <c r="H39" i="2"/>
  <c r="G39" i="2"/>
  <c r="F39" i="2"/>
  <c r="E39" i="2"/>
  <c r="D35" i="2"/>
  <c r="C35" i="2"/>
  <c r="C42" i="2" s="1"/>
  <c r="F14" i="19" s="1"/>
  <c r="I34" i="2"/>
  <c r="H34" i="2"/>
  <c r="G34" i="2"/>
  <c r="F34" i="2"/>
  <c r="D31" i="2"/>
  <c r="C31" i="2"/>
  <c r="F15" i="19" s="1"/>
  <c r="D11" i="2"/>
  <c r="C11" i="2"/>
  <c r="C24" i="2" s="1"/>
  <c r="D9" i="1"/>
  <c r="D14" i="1" s="1"/>
  <c r="C9" i="1"/>
  <c r="C14" i="1" s="1"/>
  <c r="H12" i="13" l="1"/>
  <c r="E12" i="13"/>
  <c r="I12" i="13"/>
  <c r="F12" i="13"/>
  <c r="G12" i="13"/>
  <c r="G11" i="13"/>
  <c r="H11" i="13"/>
  <c r="I11" i="13"/>
  <c r="I14" i="13" s="1"/>
  <c r="F11" i="13"/>
  <c r="E11" i="13"/>
  <c r="E14" i="13" s="1"/>
  <c r="G13" i="13"/>
  <c r="H13" i="13"/>
  <c r="E13" i="13"/>
  <c r="I13" i="13"/>
  <c r="F13" i="13"/>
  <c r="E8" i="1"/>
  <c r="F7" i="1"/>
  <c r="D17" i="1"/>
  <c r="D24" i="2"/>
  <c r="D42" i="2"/>
  <c r="G14" i="19" s="1"/>
  <c r="C8" i="13"/>
  <c r="C14" i="13"/>
  <c r="D8" i="13"/>
  <c r="D14" i="13"/>
  <c r="D10" i="18"/>
  <c r="E7" i="18" s="1"/>
  <c r="E16" i="18" s="1"/>
  <c r="G15" i="19"/>
  <c r="C43" i="2"/>
  <c r="C45" i="2" s="1"/>
  <c r="L14" i="2" s="1"/>
  <c r="F16" i="19"/>
  <c r="F18" i="19" s="1"/>
  <c r="D43" i="2"/>
  <c r="C17" i="1"/>
  <c r="L21" i="19"/>
  <c r="H21" i="19"/>
  <c r="I21" i="19"/>
  <c r="J21" i="19"/>
  <c r="C9" i="19"/>
  <c r="K22" i="19" s="1"/>
  <c r="D45" i="2" l="1"/>
  <c r="H14" i="13"/>
  <c r="G14" i="13"/>
  <c r="G16" i="19"/>
  <c r="G19" i="19" s="1"/>
  <c r="F14" i="13"/>
  <c r="F13" i="1"/>
  <c r="G7" i="1"/>
  <c r="F8" i="1"/>
  <c r="M14" i="2"/>
  <c r="F19" i="19"/>
  <c r="E7" i="12"/>
  <c r="H14" i="16" s="1"/>
  <c r="I22" i="19"/>
  <c r="G18" i="19"/>
  <c r="J22" i="19"/>
  <c r="H22" i="19"/>
  <c r="L22" i="19"/>
  <c r="E8" i="12" l="1"/>
  <c r="E9" i="2" s="1"/>
  <c r="G13" i="1"/>
  <c r="H7" i="1"/>
  <c r="G8" i="1"/>
  <c r="E5" i="13"/>
  <c r="E14" i="2" s="1"/>
  <c r="H10" i="16" s="1"/>
  <c r="F5" i="13"/>
  <c r="F14" i="2" s="1"/>
  <c r="H13" i="1" l="1"/>
  <c r="I7" i="1"/>
  <c r="H8" i="1"/>
  <c r="E7" i="13"/>
  <c r="E38" i="2" s="1"/>
  <c r="E41" i="2" s="1"/>
  <c r="E9" i="1"/>
  <c r="E6" i="13"/>
  <c r="E13" i="2" s="1"/>
  <c r="I10" i="16"/>
  <c r="G5" i="13"/>
  <c r="G14" i="2" s="1"/>
  <c r="F6" i="12" l="1"/>
  <c r="I13" i="1"/>
  <c r="I8" i="1"/>
  <c r="E11" i="2"/>
  <c r="E8" i="13"/>
  <c r="H9" i="16"/>
  <c r="H12" i="16"/>
  <c r="J10" i="16"/>
  <c r="F7" i="12" l="1"/>
  <c r="I5" i="13"/>
  <c r="I14" i="2" s="1"/>
  <c r="H5" i="13"/>
  <c r="H14" i="2" s="1"/>
  <c r="H11" i="16"/>
  <c r="H13" i="16" s="1"/>
  <c r="H15" i="16" s="1"/>
  <c r="H20" i="16" s="1"/>
  <c r="H23" i="16" s="1"/>
  <c r="F6" i="13"/>
  <c r="F13" i="2" s="1"/>
  <c r="F9" i="1"/>
  <c r="F14" i="1" s="1"/>
  <c r="F7" i="13"/>
  <c r="F38" i="2" s="1"/>
  <c r="F41" i="2" s="1"/>
  <c r="F8" i="12" l="1"/>
  <c r="F9" i="2" s="1"/>
  <c r="F11" i="2" s="1"/>
  <c r="H30" i="16"/>
  <c r="K10" i="16"/>
  <c r="L10" i="16"/>
  <c r="F8" i="13"/>
  <c r="I12" i="16"/>
  <c r="I9" i="16"/>
  <c r="I11" i="16" l="1"/>
  <c r="I13" i="16" s="1"/>
  <c r="G6" i="13" l="1"/>
  <c r="G13" i="2" s="1"/>
  <c r="G9" i="1"/>
  <c r="G14" i="1" s="1"/>
  <c r="G7" i="13"/>
  <c r="G38" i="2" s="1"/>
  <c r="G41" i="2" s="1"/>
  <c r="J12" i="16" l="1"/>
  <c r="J9" i="16"/>
  <c r="G8" i="13"/>
  <c r="J11" i="16" l="1"/>
  <c r="J13" i="16" s="1"/>
  <c r="H9" i="1" l="1"/>
  <c r="H14" i="1" s="1"/>
  <c r="H7" i="13"/>
  <c r="H38" i="2" s="1"/>
  <c r="H41" i="2" s="1"/>
  <c r="H6" i="13"/>
  <c r="H13" i="2" s="1"/>
  <c r="E17" i="1"/>
  <c r="E8" i="18" s="1"/>
  <c r="E35" i="2"/>
  <c r="E42" i="2" l="1"/>
  <c r="H14" i="19" s="1"/>
  <c r="H8" i="13"/>
  <c r="K12" i="16"/>
  <c r="K9" i="16"/>
  <c r="K11" i="16" l="1"/>
  <c r="K13" i="16" s="1"/>
  <c r="F35" i="2"/>
  <c r="F17" i="1"/>
  <c r="F8" i="18" s="1"/>
  <c r="I6" i="13" l="1"/>
  <c r="I13" i="2" s="1"/>
  <c r="I7" i="13"/>
  <c r="I38" i="2" s="1"/>
  <c r="I41" i="2" s="1"/>
  <c r="I9" i="1"/>
  <c r="I14" i="1" s="1"/>
  <c r="F42" i="2"/>
  <c r="I14" i="19" s="1"/>
  <c r="L12" i="16" l="1"/>
  <c r="I8" i="13"/>
  <c r="L9" i="16"/>
  <c r="E17" i="18"/>
  <c r="G17" i="1"/>
  <c r="G8" i="18" s="1"/>
  <c r="L11" i="16" l="1"/>
  <c r="L13" i="16" s="1"/>
  <c r="E22" i="2"/>
  <c r="F17" i="18"/>
  <c r="E24" i="2" l="1"/>
  <c r="E10" i="18"/>
  <c r="E31" i="2" l="1"/>
  <c r="E18" i="18"/>
  <c r="F7" i="18"/>
  <c r="F22" i="2" l="1"/>
  <c r="F24" i="2" s="1"/>
  <c r="E19" i="18"/>
  <c r="H35" i="2"/>
  <c r="H42" i="2" s="1"/>
  <c r="K14" i="19" s="1"/>
  <c r="H17" i="1"/>
  <c r="H8" i="18" s="1"/>
  <c r="F16" i="18"/>
  <c r="E43" i="2"/>
  <c r="E45" i="2" s="1"/>
  <c r="H15" i="19"/>
  <c r="G17" i="18"/>
  <c r="H16" i="19" l="1"/>
  <c r="H18" i="19" s="1"/>
  <c r="H19" i="19" l="1"/>
  <c r="H24" i="19" s="1"/>
  <c r="I35" i="2" l="1"/>
  <c r="I42" i="2" s="1"/>
  <c r="L14" i="19" s="1"/>
  <c r="I17" i="1"/>
  <c r="I8" i="18" s="1"/>
  <c r="H17" i="18" l="1"/>
  <c r="I17" i="18" l="1"/>
  <c r="I14" i="16" l="1"/>
  <c r="I15" i="16" s="1"/>
  <c r="I20" i="16" s="1"/>
  <c r="I23" i="16" s="1"/>
  <c r="I24" i="16" s="1"/>
  <c r="G6" i="12"/>
  <c r="G7" i="12" l="1"/>
  <c r="G8" i="12" s="1"/>
  <c r="I30" i="16"/>
  <c r="J14" i="16" l="1"/>
  <c r="G9" i="2"/>
  <c r="H6" i="12"/>
  <c r="H7" i="12" s="1"/>
  <c r="F10" i="18"/>
  <c r="J15" i="16" l="1"/>
  <c r="K14" i="16"/>
  <c r="K15" i="16" s="1"/>
  <c r="K20" i="16" s="1"/>
  <c r="K23" i="16" s="1"/>
  <c r="H8" i="12"/>
  <c r="G11" i="2"/>
  <c r="F31" i="2"/>
  <c r="G7" i="18"/>
  <c r="F18" i="18"/>
  <c r="F19" i="18" s="1"/>
  <c r="J30" i="16" l="1"/>
  <c r="J20" i="16"/>
  <c r="J23" i="16" s="1"/>
  <c r="J24" i="16" s="1"/>
  <c r="K30" i="16"/>
  <c r="I6" i="12"/>
  <c r="H9" i="2"/>
  <c r="G16" i="18"/>
  <c r="G10" i="18"/>
  <c r="I15" i="19"/>
  <c r="F43" i="2"/>
  <c r="F45" i="2" s="1"/>
  <c r="G20" i="2" l="1"/>
  <c r="H11" i="2"/>
  <c r="I7" i="12"/>
  <c r="I8" i="12" s="1"/>
  <c r="I9" i="2" s="1"/>
  <c r="I16" i="19"/>
  <c r="I18" i="19" s="1"/>
  <c r="H7" i="18"/>
  <c r="G31" i="2"/>
  <c r="G18" i="18"/>
  <c r="G19" i="18" s="1"/>
  <c r="K22" i="16" l="1"/>
  <c r="K24" i="16" s="1"/>
  <c r="H20" i="2" s="1"/>
  <c r="G22" i="2"/>
  <c r="G24" i="2" s="1"/>
  <c r="L14" i="16"/>
  <c r="L15" i="16" s="1"/>
  <c r="L20" i="16" s="1"/>
  <c r="L23" i="16" s="1"/>
  <c r="I11" i="2"/>
  <c r="H16" i="18"/>
  <c r="H10" i="18"/>
  <c r="I19" i="19"/>
  <c r="I24" i="19" s="1"/>
  <c r="G35" i="2"/>
  <c r="G42" i="2" s="1"/>
  <c r="J14" i="19" s="1"/>
  <c r="J15" i="19"/>
  <c r="L22" i="16" l="1"/>
  <c r="L24" i="16" s="1"/>
  <c r="I20" i="2" s="1"/>
  <c r="I22" i="2" s="1"/>
  <c r="I24" i="2" s="1"/>
  <c r="H22" i="2"/>
  <c r="H24" i="2" s="1"/>
  <c r="G43" i="2"/>
  <c r="G45" i="2" s="1"/>
  <c r="L30" i="16"/>
  <c r="I7" i="18"/>
  <c r="H18" i="18"/>
  <c r="H19" i="18" s="1"/>
  <c r="H31" i="2"/>
  <c r="J16" i="19"/>
  <c r="J18" i="19" s="1"/>
  <c r="I10" i="18" l="1"/>
  <c r="I16" i="18"/>
  <c r="J19" i="19"/>
  <c r="J24" i="19" s="1"/>
  <c r="H43" i="2"/>
  <c r="H45" i="2" s="1"/>
  <c r="K15" i="19"/>
  <c r="K16" i="19" l="1"/>
  <c r="K18" i="19" s="1"/>
  <c r="I31" i="2"/>
  <c r="I18" i="18"/>
  <c r="I19" i="18" s="1"/>
  <c r="I43" i="2" l="1"/>
  <c r="I45" i="2" s="1"/>
  <c r="L15" i="19"/>
  <c r="K19" i="19"/>
  <c r="K24" i="19" s="1"/>
  <c r="L16" i="19" l="1"/>
  <c r="L18" i="19" s="1"/>
  <c r="L19" i="19" l="1"/>
  <c r="L24" i="19" s="1"/>
  <c r="C3" i="16" l="1"/>
  <c r="H31" i="16" s="1"/>
  <c r="I31" i="16" l="1"/>
  <c r="I32" i="16" s="1"/>
  <c r="H32" i="16"/>
  <c r="K31" i="16"/>
  <c r="K32" i="16" s="1"/>
  <c r="L31" i="16"/>
  <c r="L32" i="16" s="1"/>
  <c r="J31" i="16"/>
  <c r="J32" i="16" s="1"/>
  <c r="L33" i="16"/>
  <c r="L34" i="16" s="1"/>
  <c r="F38" i="16" s="1"/>
  <c r="F37" i="16" l="1"/>
  <c r="F39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E120A4-7963-4C83-90C2-BF5A230E37AB}" keepAlive="1" name="Query - Table 0 (2)" description="Connection to the 'Table 0 (2)' query in the workbook." type="5" refreshedVersion="0" background="1">
    <dbPr connection="Provider=Microsoft.Mashup.OleDb.1;Data Source=$Workbook$;Location=&quot;Table 0 (2)&quot;;Extended Properties=&quot;&quot;" command="SELECT * FROM [Table 0 (2)]"/>
  </connection>
  <connection id="2" xr16:uid="{59B4EFB1-7D20-40AD-A5C2-46CBCDBCF29F}" keepAlive="1" name="Query - Table 0 (3)" description="Connection to the 'Table 0 (3)' query in the workbook." type="5" refreshedVersion="8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<sst xmlns="http://schemas.openxmlformats.org/spreadsheetml/2006/main" count="262" uniqueCount="159">
  <si>
    <t>Profit before taxation</t>
  </si>
  <si>
    <t>Finance cost</t>
  </si>
  <si>
    <t>(Rupees‘000)</t>
  </si>
  <si>
    <t>Income Statement</t>
  </si>
  <si>
    <t>Sales - net</t>
  </si>
  <si>
    <t>Cost of sales</t>
  </si>
  <si>
    <t>Gross profit</t>
  </si>
  <si>
    <t>Operating expenses</t>
  </si>
  <si>
    <t>Administrative expenses</t>
  </si>
  <si>
    <t>Other income</t>
  </si>
  <si>
    <t>Profit from operations</t>
  </si>
  <si>
    <t>Financial Position</t>
  </si>
  <si>
    <t>Cash Flows From Operating Activities</t>
  </si>
  <si>
    <t>Assets</t>
  </si>
  <si>
    <t>Non Current Assets</t>
  </si>
  <si>
    <t/>
  </si>
  <si>
    <t>Current Assets</t>
  </si>
  <si>
    <t>Trade Debts</t>
  </si>
  <si>
    <t>Cash And Bank Balances</t>
  </si>
  <si>
    <t>Total Assets</t>
  </si>
  <si>
    <t>Equity And Liabilities</t>
  </si>
  <si>
    <t>Share Capital And Reserves</t>
  </si>
  <si>
    <t>Unappropriated Profit</t>
  </si>
  <si>
    <t>Non Current Liabilities</t>
  </si>
  <si>
    <t>Current Liabilities</t>
  </si>
  <si>
    <t>Trade And Other Payables</t>
  </si>
  <si>
    <t>Accrued Mark Up</t>
  </si>
  <si>
    <t>Total Equity And Liabilities</t>
  </si>
  <si>
    <t>For the year ended June 30, 20XX</t>
  </si>
  <si>
    <t>As at June 30, 20XX</t>
  </si>
  <si>
    <t>Index</t>
  </si>
  <si>
    <t>Drivers</t>
  </si>
  <si>
    <t>Company</t>
  </si>
  <si>
    <t>Currency</t>
  </si>
  <si>
    <t>Domestic country</t>
  </si>
  <si>
    <t>Corporate tax rate</t>
  </si>
  <si>
    <t>Pakistan</t>
  </si>
  <si>
    <t>PKR</t>
  </si>
  <si>
    <t>Market risk premium</t>
  </si>
  <si>
    <t>-</t>
  </si>
  <si>
    <t>https://tradingeconomics.com/pakistan/corporate-tax-rate#:~:text=The%20Corporate%20Tax%20Rate%20in,of%20Revenue%2C%20Government%20of%20Pakistan</t>
  </si>
  <si>
    <t>2019A</t>
  </si>
  <si>
    <t>2020A</t>
  </si>
  <si>
    <t>2021A</t>
  </si>
  <si>
    <t>2022A</t>
  </si>
  <si>
    <t>2023A</t>
  </si>
  <si>
    <t>2024F</t>
  </si>
  <si>
    <t>2025F</t>
  </si>
  <si>
    <t>2026F</t>
  </si>
  <si>
    <t>2027F</t>
  </si>
  <si>
    <t>2028F</t>
  </si>
  <si>
    <t>Check</t>
  </si>
  <si>
    <t>6/30/2022A</t>
  </si>
  <si>
    <t>6/30/2023A</t>
  </si>
  <si>
    <t>6/30/2024F</t>
  </si>
  <si>
    <t>6/30/2025F</t>
  </si>
  <si>
    <t>6/30/2026F</t>
  </si>
  <si>
    <t>6/30/2027F</t>
  </si>
  <si>
    <t>6/30/2028F</t>
  </si>
  <si>
    <t>PPE</t>
  </si>
  <si>
    <t>Ending PPE</t>
  </si>
  <si>
    <t>Beginning PPE</t>
  </si>
  <si>
    <t>Adjusted: Capex</t>
  </si>
  <si>
    <t>Capex as a % of PP&amp;E</t>
  </si>
  <si>
    <t>Working capital</t>
  </si>
  <si>
    <t>Trade payables</t>
  </si>
  <si>
    <t>Net trade cycle</t>
  </si>
  <si>
    <t>Selected case:</t>
  </si>
  <si>
    <t>DSO</t>
  </si>
  <si>
    <t>DIO</t>
  </si>
  <si>
    <t>DPO</t>
  </si>
  <si>
    <t>Trade debts (receivables)</t>
  </si>
  <si>
    <t>Stock in trade (inventory)</t>
  </si>
  <si>
    <t>Assumption</t>
  </si>
  <si>
    <t>Stays flat</t>
  </si>
  <si>
    <t>Working capital sheet</t>
  </si>
  <si>
    <t>Grows as a % of revenues</t>
  </si>
  <si>
    <t>EBIT</t>
  </si>
  <si>
    <t>Investments in Working Capital</t>
  </si>
  <si>
    <t>Capex</t>
  </si>
  <si>
    <t>Unlevered Free Cash Flow</t>
  </si>
  <si>
    <t>Debt</t>
  </si>
  <si>
    <t>Equity</t>
  </si>
  <si>
    <t>Total Liabilities</t>
  </si>
  <si>
    <t>https://www.worldgovernmentbonds.com/bond-historical-data/pakistan/5-years/</t>
  </si>
  <si>
    <t>Finance Cost</t>
  </si>
  <si>
    <t>Delta Financial liabilities</t>
  </si>
  <si>
    <t>Delta equity/Other equity movements</t>
  </si>
  <si>
    <t>Net Cash Flow</t>
  </si>
  <si>
    <t>Opening cash</t>
  </si>
  <si>
    <t>Closing cash</t>
  </si>
  <si>
    <t>Opening Equity</t>
  </si>
  <si>
    <t>Closing Equity</t>
  </si>
  <si>
    <t>Net Income</t>
  </si>
  <si>
    <t>Added Equity</t>
  </si>
  <si>
    <t>Delta Equity</t>
  </si>
  <si>
    <t>Closing Equity = Opening Equity+Net Income+Added Equity-Dividends</t>
  </si>
  <si>
    <t>Normally between 4.5 to 5.5%</t>
  </si>
  <si>
    <t>https://www.worldgovernmentbonds.com/bond-historical-data/pakistan/10-years/</t>
  </si>
  <si>
    <t>WACC</t>
  </si>
  <si>
    <t>Risk-free rate</t>
  </si>
  <si>
    <t>Tax rate</t>
  </si>
  <si>
    <t>Cost of equity</t>
  </si>
  <si>
    <t>Debt / (Debt + Equity)</t>
  </si>
  <si>
    <t>Equity / (Debt + Equity)</t>
  </si>
  <si>
    <t>Cost of debt</t>
  </si>
  <si>
    <t>Current bond Yield as of 19th Nov</t>
  </si>
  <si>
    <t>Continuing value</t>
  </si>
  <si>
    <t>Present value of UFCF</t>
  </si>
  <si>
    <t>Present value of CV</t>
  </si>
  <si>
    <t>Perpetuity Growth Rate-Based Valuation</t>
  </si>
  <si>
    <t>Total PV of Cash Flows</t>
  </si>
  <si>
    <t>PV of Continuing Value</t>
  </si>
  <si>
    <t>Enterprise Value</t>
  </si>
  <si>
    <t>DCF Valuation</t>
  </si>
  <si>
    <t>Workings -&gt;</t>
  </si>
  <si>
    <t>Property, Plant &amp; Equipment</t>
  </si>
  <si>
    <t>Changes in Equity</t>
  </si>
  <si>
    <t>Drivers!A1</t>
  </si>
  <si>
    <t>Income Statement'!A1</t>
  </si>
  <si>
    <t>Financial Position'!A1</t>
  </si>
  <si>
    <t>PPE!A1</t>
  </si>
  <si>
    <t>WC!A1</t>
  </si>
  <si>
    <t>Working Capital</t>
  </si>
  <si>
    <t>CIE!A1</t>
  </si>
  <si>
    <t>WACC!A1</t>
  </si>
  <si>
    <t>Workings:</t>
  </si>
  <si>
    <t>Delta Equity = Opening Equity+Net Income-Closing Equity</t>
  </si>
  <si>
    <t>Statement of Financial Position</t>
  </si>
  <si>
    <t>Statement of Profit or Loss</t>
  </si>
  <si>
    <t>DCF Based Valuation</t>
  </si>
  <si>
    <t>DCF Valuation'!A1</t>
  </si>
  <si>
    <t>Long run growth (g)</t>
  </si>
  <si>
    <t>Present Value factor</t>
  </si>
  <si>
    <t>Market Beta (as of 23 Dec 2023)</t>
  </si>
  <si>
    <t>Current Account</t>
  </si>
  <si>
    <t>Employee Benefits</t>
  </si>
  <si>
    <t>Other long term liability</t>
  </si>
  <si>
    <t>Running Finance balance</t>
  </si>
  <si>
    <t>Contract liabilities</t>
  </si>
  <si>
    <t>Long Term Deposits, Prepayments</t>
  </si>
  <si>
    <t>Inventory</t>
  </si>
  <si>
    <t>Trade Deposit and Prepayment</t>
  </si>
  <si>
    <t>Interest Receivable</t>
  </si>
  <si>
    <t>Contract Assets</t>
  </si>
  <si>
    <t>Advances</t>
  </si>
  <si>
    <t>Other receivables</t>
  </si>
  <si>
    <t>Advanced tax net</t>
  </si>
  <si>
    <t>Rs. 000</t>
  </si>
  <si>
    <t>Cost of sales as % of sales</t>
  </si>
  <si>
    <t>Administrative expenses as % of sales</t>
  </si>
  <si>
    <t>Other income as % of sales</t>
  </si>
  <si>
    <t>Finance cost as % of sales</t>
  </si>
  <si>
    <t>5-year treasury yield (17 Apr 2024)</t>
  </si>
  <si>
    <t>10-year treasury yield (17 Apr 2024)</t>
  </si>
  <si>
    <t>Company beta (17 Apr 2024)</t>
  </si>
  <si>
    <t>Expected long term growth rate (g)</t>
  </si>
  <si>
    <t>https://www.scstrade.com/stockscreening/SS_CompanySnapShot.aspx?symbol=PSEL</t>
  </si>
  <si>
    <t>PC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</si>
</sst>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_);_(* \(#,##0\);_(* &quot;-&quot;??_);_(@_)"/>
    <numFmt numFmtId="166" formatCode="0.0%"/>
    <numFmt numFmtId="167" formatCode="#,##0.0_);\(#,##0.0\)"/>
    <numFmt numFmtId="168" formatCode="_(* #,##0.0_);_(* \(#,##0.0\);_(* &quot;-&quot;??_);_(@_)"/>
    <numFmt numFmtId="169" formatCode="_(* #,##0.0_);_(* \(#,##0.0\);_(* &quot;-&quot;?_);@_l"/>
    <numFmt numFmtId="170" formatCode="_(* #,##0.0_);_(* \(#,##0.0\);_(* &quot;-&quot;?_);@_)"/>
    <numFmt numFmtId="172" formatCode="_(* #,##0_);_(* \(#,##0\);_(* &quot;-&quot;?_);@_)"/>
    <numFmt numFmtId="173" formatCode="_(* #,##0.000_);_(* \(#,##0.000\);_(* &quot;-&quot;?_);@_)"/>
    <numFmt numFmtId="174" formatCode="0.000%"/>
  </numFmts>
  <fonts count="30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8"/>
      <name val="Calibri"/>
      <family val="2"/>
      <scheme val="minor"/>
    </font>
    <font>
      <b/>
      <sz val="9"/>
      <name val="Arial"/>
      <family val="2"/>
    </font>
    <font>
      <b/>
      <sz val="14"/>
      <color rgb="FF002060"/>
      <name val="Arial"/>
      <family val="2"/>
    </font>
    <font>
      <sz val="9"/>
      <name val="Arial"/>
      <family val="2"/>
      <charset val="204"/>
    </font>
    <font>
      <sz val="9"/>
      <color theme="1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9"/>
      <name val="Arial"/>
      <family val="2"/>
    </font>
    <font>
      <b/>
      <sz val="40"/>
      <color rgb="FF002060"/>
      <name val="Arial"/>
      <family val="2"/>
      <charset val="204"/>
    </font>
    <font>
      <sz val="11"/>
      <color theme="1"/>
      <name val="Calibri"/>
      <family val="2"/>
      <scheme val="minor"/>
    </font>
    <font>
      <sz val="9"/>
      <color rgb="FF002060"/>
      <name val="Arial"/>
      <family val="2"/>
    </font>
    <font>
      <b/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10"/>
      <name val="Arial"/>
      <family val="2"/>
    </font>
    <font>
      <sz val="10"/>
      <name val="Arial"/>
      <family val="2"/>
      <charset val="204"/>
    </font>
    <font>
      <b/>
      <sz val="9"/>
      <color indexed="9"/>
      <name val="Arial"/>
      <family val="2"/>
    </font>
    <font>
      <sz val="12"/>
      <color theme="1"/>
      <name val="Arial"/>
      <family val="2"/>
    </font>
    <font>
      <b/>
      <sz val="12"/>
      <color rgb="FF002060"/>
      <name val="Aral"/>
    </font>
    <font>
      <b/>
      <sz val="9"/>
      <color rgb="FF002060"/>
      <name val="Aral"/>
    </font>
    <font>
      <b/>
      <sz val="9"/>
      <color theme="0"/>
      <name val="Aral"/>
    </font>
    <font>
      <sz val="9"/>
      <color theme="1"/>
      <name val="Aral"/>
    </font>
    <font>
      <sz val="9"/>
      <name val="Aral"/>
    </font>
    <font>
      <b/>
      <sz val="9"/>
      <name val="Aral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rgb="FF00206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8">
    <xf numFmtId="0" fontId="0" fillId="0" borderId="0"/>
    <xf numFmtId="0" fontId="11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9" fillId="0" borderId="0">
      <alignment vertical="top"/>
    </xf>
    <xf numFmtId="43" fontId="20" fillId="0" borderId="0">
      <alignment vertical="top"/>
    </xf>
    <xf numFmtId="9" fontId="20" fillId="0" borderId="0">
      <alignment vertical="top"/>
    </xf>
    <xf numFmtId="0" fontId="19" fillId="0" borderId="0" applyNumberFormat="0" applyFill="0" applyBorder="0" applyAlignment="0" applyProtection="0"/>
  </cellStyleXfs>
  <cellXfs count="142">
    <xf numFmtId="0" fontId="0" fillId="0" borderId="0" xfId="0"/>
    <xf numFmtId="0" fontId="1" fillId="2" borderId="0" xfId="0" applyFont="1" applyFill="1"/>
    <xf numFmtId="0" fontId="2" fillId="2" borderId="0" xfId="0" applyFont="1" applyFill="1"/>
    <xf numFmtId="41" fontId="1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right"/>
    </xf>
    <xf numFmtId="0" fontId="3" fillId="2" borderId="0" xfId="0" applyFont="1" applyFill="1"/>
    <xf numFmtId="0" fontId="4" fillId="2" borderId="0" xfId="0" applyFont="1" applyFill="1"/>
    <xf numFmtId="0" fontId="4" fillId="2" borderId="1" xfId="0" applyFont="1" applyFill="1" applyBorder="1"/>
    <xf numFmtId="41" fontId="4" fillId="2" borderId="1" xfId="0" applyNumberFormat="1" applyFont="1" applyFill="1" applyBorder="1" applyAlignment="1">
      <alignment horizontal="right"/>
    </xf>
    <xf numFmtId="41" fontId="4" fillId="2" borderId="0" xfId="0" applyNumberFormat="1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1" fillId="2" borderId="2" xfId="0" applyFont="1" applyFill="1" applyBorder="1"/>
    <xf numFmtId="0" fontId="0" fillId="2" borderId="0" xfId="0" applyFill="1"/>
    <xf numFmtId="0" fontId="4" fillId="2" borderId="2" xfId="0" applyFont="1" applyFill="1" applyBorder="1"/>
    <xf numFmtId="41" fontId="4" fillId="2" borderId="2" xfId="0" applyNumberFormat="1" applyFont="1" applyFill="1" applyBorder="1" applyAlignment="1">
      <alignment horizontal="right"/>
    </xf>
    <xf numFmtId="0" fontId="3" fillId="2" borderId="3" xfId="0" applyFont="1" applyFill="1" applyBorder="1" applyAlignment="1">
      <alignment horizontal="right"/>
    </xf>
    <xf numFmtId="41" fontId="1" fillId="2" borderId="0" xfId="0" applyNumberFormat="1" applyFont="1" applyFill="1"/>
    <xf numFmtId="41" fontId="0" fillId="2" borderId="0" xfId="0" applyNumberFormat="1" applyFill="1" applyAlignment="1">
      <alignment horizontal="right"/>
    </xf>
    <xf numFmtId="0" fontId="7" fillId="2" borderId="0" xfId="0" applyFont="1" applyFill="1"/>
    <xf numFmtId="0" fontId="9" fillId="2" borderId="0" xfId="0" applyFont="1" applyFill="1" applyAlignment="1">
      <alignment vertical="top"/>
    </xf>
    <xf numFmtId="0" fontId="12" fillId="2" borderId="0" xfId="1" applyFont="1" applyFill="1"/>
    <xf numFmtId="9" fontId="13" fillId="2" borderId="0" xfId="0" applyNumberFormat="1" applyFont="1" applyFill="1" applyAlignment="1">
      <alignment horizontal="right" vertical="top"/>
    </xf>
    <xf numFmtId="0" fontId="13" fillId="2" borderId="0" xfId="0" applyFont="1" applyFill="1" applyAlignment="1">
      <alignment horizontal="right" vertical="top"/>
    </xf>
    <xf numFmtId="10" fontId="13" fillId="2" borderId="0" xfId="0" applyNumberFormat="1" applyFont="1" applyFill="1" applyAlignment="1">
      <alignment horizontal="right" vertical="top"/>
    </xf>
    <xf numFmtId="0" fontId="14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5" fillId="3" borderId="0" xfId="0" applyFont="1" applyFill="1" applyAlignment="1">
      <alignment horizontal="right"/>
    </xf>
    <xf numFmtId="41" fontId="5" fillId="3" borderId="0" xfId="0" applyNumberFormat="1" applyFont="1" applyFill="1" applyAlignment="1">
      <alignment horizontal="right"/>
    </xf>
    <xf numFmtId="9" fontId="2" fillId="2" borderId="0" xfId="0" applyNumberFormat="1" applyFont="1" applyFill="1" applyAlignment="1">
      <alignment horizontal="left" vertical="top"/>
    </xf>
    <xf numFmtId="41" fontId="13" fillId="4" borderId="0" xfId="0" applyNumberFormat="1" applyFont="1" applyFill="1"/>
    <xf numFmtId="41" fontId="13" fillId="4" borderId="0" xfId="0" applyNumberFormat="1" applyFont="1" applyFill="1" applyAlignment="1">
      <alignment horizontal="right"/>
    </xf>
    <xf numFmtId="15" fontId="5" fillId="3" borderId="0" xfId="0" applyNumberFormat="1" applyFont="1" applyFill="1" applyAlignment="1">
      <alignment horizontal="right"/>
    </xf>
    <xf numFmtId="41" fontId="4" fillId="2" borderId="1" xfId="0" applyNumberFormat="1" applyFont="1" applyFill="1" applyBorder="1"/>
    <xf numFmtId="10" fontId="1" fillId="2" borderId="0" xfId="2" applyNumberFormat="1" applyFont="1" applyFill="1"/>
    <xf numFmtId="0" fontId="1" fillId="2" borderId="0" xfId="0" applyFont="1" applyFill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41" fontId="1" fillId="2" borderId="1" xfId="0" applyNumberFormat="1" applyFont="1" applyFill="1" applyBorder="1"/>
    <xf numFmtId="41" fontId="13" fillId="2" borderId="0" xfId="0" applyNumberFormat="1" applyFont="1" applyFill="1" applyAlignment="1">
      <alignment horizontal="center"/>
    </xf>
    <xf numFmtId="0" fontId="16" fillId="2" borderId="3" xfId="0" applyFont="1" applyFill="1" applyBorder="1" applyAlignment="1">
      <alignment horizontal="right"/>
    </xf>
    <xf numFmtId="41" fontId="1" fillId="5" borderId="0" xfId="0" applyNumberFormat="1" applyFont="1" applyFill="1"/>
    <xf numFmtId="41" fontId="1" fillId="5" borderId="1" xfId="0" applyNumberFormat="1" applyFont="1" applyFill="1" applyBorder="1"/>
    <xf numFmtId="41" fontId="1" fillId="5" borderId="0" xfId="0" applyNumberFormat="1" applyFont="1" applyFill="1" applyAlignment="1">
      <alignment horizontal="right"/>
    </xf>
    <xf numFmtId="41" fontId="4" fillId="5" borderId="2" xfId="0" applyNumberFormat="1" applyFont="1" applyFill="1" applyBorder="1" applyAlignment="1">
      <alignment horizontal="right"/>
    </xf>
    <xf numFmtId="41" fontId="4" fillId="5" borderId="1" xfId="0" applyNumberFormat="1" applyFont="1" applyFill="1" applyBorder="1" applyAlignment="1">
      <alignment horizontal="right"/>
    </xf>
    <xf numFmtId="41" fontId="4" fillId="5" borderId="0" xfId="0" applyNumberFormat="1" applyFont="1" applyFill="1" applyAlignment="1">
      <alignment horizontal="right"/>
    </xf>
    <xf numFmtId="0" fontId="0" fillId="5" borderId="0" xfId="0" applyFill="1"/>
    <xf numFmtId="0" fontId="1" fillId="5" borderId="0" xfId="0" applyFont="1" applyFill="1"/>
    <xf numFmtId="0" fontId="17" fillId="2" borderId="4" xfId="0" applyFont="1" applyFill="1" applyBorder="1" applyAlignment="1">
      <alignment horizontal="left" vertical="top" wrapText="1"/>
    </xf>
    <xf numFmtId="0" fontId="12" fillId="2" borderId="0" xfId="1" applyFont="1" applyFill="1" applyAlignment="1">
      <alignment vertical="top"/>
    </xf>
    <xf numFmtId="0" fontId="3" fillId="2" borderId="3" xfId="0" applyFont="1" applyFill="1" applyBorder="1" applyAlignment="1">
      <alignment horizontal="left"/>
    </xf>
    <xf numFmtId="0" fontId="7" fillId="2" borderId="0" xfId="0" applyFont="1" applyFill="1" applyAlignment="1">
      <alignment vertical="top"/>
    </xf>
    <xf numFmtId="0" fontId="12" fillId="0" borderId="0" xfId="1" applyFont="1" applyFill="1"/>
    <xf numFmtId="170" fontId="7" fillId="2" borderId="2" xfId="0" applyNumberFormat="1" applyFont="1" applyFill="1" applyBorder="1"/>
    <xf numFmtId="170" fontId="7" fillId="2" borderId="2" xfId="0" applyNumberFormat="1" applyFont="1" applyFill="1" applyBorder="1" applyAlignment="1">
      <alignment horizontal="right"/>
    </xf>
    <xf numFmtId="165" fontId="7" fillId="2" borderId="2" xfId="0" applyNumberFormat="1" applyFont="1" applyFill="1" applyBorder="1" applyAlignment="1">
      <alignment horizontal="right"/>
    </xf>
    <xf numFmtId="165" fontId="7" fillId="2" borderId="2" xfId="0" applyNumberFormat="1" applyFont="1" applyFill="1" applyBorder="1"/>
    <xf numFmtId="0" fontId="13" fillId="2" borderId="0" xfId="0" applyFont="1" applyFill="1"/>
    <xf numFmtId="169" fontId="13" fillId="2" borderId="0" xfId="0" applyNumberFormat="1" applyFont="1" applyFill="1"/>
    <xf numFmtId="0" fontId="13" fillId="2" borderId="0" xfId="0" applyFont="1" applyFill="1" applyAlignment="1">
      <alignment horizontal="right"/>
    </xf>
    <xf numFmtId="165" fontId="1" fillId="2" borderId="0" xfId="3" applyNumberFormat="1" applyFont="1" applyFill="1" applyAlignment="1">
      <alignment horizontal="right"/>
    </xf>
    <xf numFmtId="165" fontId="1" fillId="2" borderId="0" xfId="3" applyNumberFormat="1" applyFont="1" applyFill="1" applyAlignment="1"/>
    <xf numFmtId="170" fontId="7" fillId="2" borderId="1" xfId="0" applyNumberFormat="1" applyFont="1" applyFill="1" applyBorder="1"/>
    <xf numFmtId="168" fontId="13" fillId="2" borderId="1" xfId="0" applyNumberFormat="1" applyFont="1" applyFill="1" applyBorder="1" applyAlignment="1">
      <alignment horizontal="right"/>
    </xf>
    <xf numFmtId="165" fontId="7" fillId="2" borderId="1" xfId="0" applyNumberFormat="1" applyFont="1" applyFill="1" applyBorder="1" applyAlignment="1">
      <alignment horizontal="right"/>
    </xf>
    <xf numFmtId="165" fontId="13" fillId="2" borderId="1" xfId="0" applyNumberFormat="1" applyFont="1" applyFill="1" applyBorder="1" applyAlignment="1">
      <alignment horizontal="right"/>
    </xf>
    <xf numFmtId="165" fontId="7" fillId="2" borderId="1" xfId="0" applyNumberFormat="1" applyFont="1" applyFill="1" applyBorder="1"/>
    <xf numFmtId="166" fontId="1" fillId="2" borderId="0" xfId="2" applyNumberFormat="1" applyFont="1" applyFill="1"/>
    <xf numFmtId="0" fontId="2" fillId="2" borderId="0" xfId="4" applyFont="1" applyFill="1" applyAlignment="1"/>
    <xf numFmtId="0" fontId="1" fillId="2" borderId="0" xfId="4" applyFont="1" applyFill="1" applyAlignment="1"/>
    <xf numFmtId="10" fontId="1" fillId="2" borderId="0" xfId="4" applyNumberFormat="1" applyFont="1" applyFill="1" applyAlignment="1"/>
    <xf numFmtId="9" fontId="1" fillId="2" borderId="0" xfId="4" applyNumberFormat="1" applyFont="1" applyFill="1" applyAlignment="1"/>
    <xf numFmtId="0" fontId="4" fillId="2" borderId="0" xfId="4" applyFont="1" applyFill="1" applyAlignment="1"/>
    <xf numFmtId="166" fontId="4" fillId="2" borderId="0" xfId="4" applyNumberFormat="1" applyFont="1" applyFill="1" applyAlignment="1"/>
    <xf numFmtId="166" fontId="1" fillId="2" borderId="0" xfId="4" applyNumberFormat="1" applyFont="1" applyFill="1" applyAlignment="1"/>
    <xf numFmtId="0" fontId="1" fillId="2" borderId="0" xfId="4" applyFont="1" applyFill="1">
      <alignment vertical="top"/>
    </xf>
    <xf numFmtId="41" fontId="13" fillId="2" borderId="0" xfId="0" applyNumberFormat="1" applyFont="1" applyFill="1"/>
    <xf numFmtId="41" fontId="13" fillId="2" borderId="0" xfId="0" applyNumberFormat="1" applyFont="1" applyFill="1" applyAlignment="1">
      <alignment horizontal="left"/>
    </xf>
    <xf numFmtId="41" fontId="1" fillId="2" borderId="0" xfId="4" applyNumberFormat="1" applyFont="1" applyFill="1" applyAlignment="1"/>
    <xf numFmtId="41" fontId="1" fillId="2" borderId="0" xfId="4" applyNumberFormat="1" applyFont="1" applyFill="1" applyAlignment="1">
      <alignment horizontal="right"/>
    </xf>
    <xf numFmtId="41" fontId="1" fillId="2" borderId="0" xfId="4" applyNumberFormat="1" applyFont="1" applyFill="1">
      <alignment vertical="top"/>
    </xf>
    <xf numFmtId="41" fontId="4" fillId="2" borderId="5" xfId="4" applyNumberFormat="1" applyFont="1" applyFill="1" applyBorder="1" applyAlignment="1"/>
    <xf numFmtId="41" fontId="1" fillId="2" borderId="2" xfId="4" applyNumberFormat="1" applyFont="1" applyFill="1" applyBorder="1">
      <alignment vertical="top"/>
    </xf>
    <xf numFmtId="166" fontId="1" fillId="2" borderId="0" xfId="2" applyNumberFormat="1" applyFont="1" applyFill="1" applyAlignment="1"/>
    <xf numFmtId="166" fontId="4" fillId="2" borderId="5" xfId="2" applyNumberFormat="1" applyFont="1" applyFill="1" applyBorder="1" applyAlignment="1"/>
    <xf numFmtId="170" fontId="1" fillId="2" borderId="0" xfId="4" applyNumberFormat="1" applyFont="1" applyFill="1" applyAlignment="1"/>
    <xf numFmtId="170" fontId="3" fillId="2" borderId="0" xfId="4" applyNumberFormat="1" applyFont="1" applyFill="1" applyAlignment="1"/>
    <xf numFmtId="170" fontId="3" fillId="2" borderId="6" xfId="4" applyNumberFormat="1" applyFont="1" applyFill="1" applyBorder="1" applyAlignment="1"/>
    <xf numFmtId="172" fontId="1" fillId="2" borderId="0" xfId="4" applyNumberFormat="1" applyFont="1" applyFill="1" applyAlignment="1"/>
    <xf numFmtId="172" fontId="3" fillId="2" borderId="6" xfId="4" applyNumberFormat="1" applyFont="1" applyFill="1" applyBorder="1" applyAlignment="1"/>
    <xf numFmtId="0" fontId="13" fillId="2" borderId="0" xfId="4" applyFont="1" applyFill="1">
      <alignment vertical="top"/>
    </xf>
    <xf numFmtId="0" fontId="22" fillId="2" borderId="0" xfId="0" applyFont="1" applyFill="1"/>
    <xf numFmtId="41" fontId="22" fillId="2" borderId="0" xfId="0" applyNumberFormat="1" applyFont="1" applyFill="1" applyAlignment="1">
      <alignment horizontal="right"/>
    </xf>
    <xf numFmtId="9" fontId="5" fillId="6" borderId="0" xfId="4" applyNumberFormat="1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2" fillId="2" borderId="0" xfId="1" quotePrefix="1" applyFont="1" applyFill="1"/>
    <xf numFmtId="9" fontId="1" fillId="7" borderId="0" xfId="2" applyFont="1" applyFill="1"/>
    <xf numFmtId="166" fontId="13" fillId="7" borderId="0" xfId="0" applyNumberFormat="1" applyFont="1" applyFill="1"/>
    <xf numFmtId="166" fontId="13" fillId="7" borderId="0" xfId="2" applyNumberFormat="1" applyFont="1" applyFill="1" applyAlignment="1">
      <alignment vertical="top"/>
    </xf>
    <xf numFmtId="0" fontId="23" fillId="2" borderId="0" xfId="0" applyFont="1" applyFill="1"/>
    <xf numFmtId="0" fontId="24" fillId="2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41" fontId="25" fillId="3" borderId="0" xfId="0" applyNumberFormat="1" applyFont="1" applyFill="1" applyAlignment="1">
      <alignment horizontal="right"/>
    </xf>
    <xf numFmtId="0" fontId="26" fillId="2" borderId="0" xfId="0" applyFont="1" applyFill="1"/>
    <xf numFmtId="0" fontId="27" fillId="2" borderId="0" xfId="0" applyFont="1" applyFill="1" applyAlignment="1">
      <alignment vertical="top"/>
    </xf>
    <xf numFmtId="37" fontId="27" fillId="2" borderId="0" xfId="0" applyNumberFormat="1" applyFont="1" applyFill="1" applyAlignment="1">
      <alignment vertical="top"/>
    </xf>
    <xf numFmtId="167" fontId="27" fillId="5" borderId="0" xfId="3" applyNumberFormat="1" applyFont="1" applyFill="1" applyAlignment="1">
      <alignment vertical="top"/>
    </xf>
    <xf numFmtId="0" fontId="28" fillId="2" borderId="5" xfId="0" applyFont="1" applyFill="1" applyBorder="1"/>
    <xf numFmtId="165" fontId="28" fillId="2" borderId="5" xfId="0" applyNumberFormat="1" applyFont="1" applyFill="1" applyBorder="1"/>
    <xf numFmtId="0" fontId="24" fillId="2" borderId="0" xfId="0" applyFont="1" applyFill="1"/>
    <xf numFmtId="0" fontId="28" fillId="7" borderId="0" xfId="0" applyFont="1" applyFill="1" applyAlignment="1">
      <alignment vertical="top"/>
    </xf>
    <xf numFmtId="0" fontId="27" fillId="7" borderId="0" xfId="0" applyFont="1" applyFill="1" applyAlignment="1">
      <alignment vertical="top"/>
    </xf>
    <xf numFmtId="168" fontId="27" fillId="7" borderId="0" xfId="3" applyNumberFormat="1" applyFont="1" applyFill="1" applyAlignment="1">
      <alignment vertical="top"/>
    </xf>
    <xf numFmtId="0" fontId="27" fillId="7" borderId="0" xfId="0" applyFont="1" applyFill="1"/>
    <xf numFmtId="165" fontId="28" fillId="5" borderId="5" xfId="0" applyNumberFormat="1" applyFont="1" applyFill="1" applyBorder="1"/>
    <xf numFmtId="165" fontId="7" fillId="5" borderId="2" xfId="0" applyNumberFormat="1" applyFont="1" applyFill="1" applyBorder="1"/>
    <xf numFmtId="165" fontId="1" fillId="5" borderId="0" xfId="3" applyNumberFormat="1" applyFont="1" applyFill="1" applyAlignment="1"/>
    <xf numFmtId="165" fontId="7" fillId="5" borderId="1" xfId="0" applyNumberFormat="1" applyFont="1" applyFill="1" applyBorder="1"/>
    <xf numFmtId="0" fontId="4" fillId="2" borderId="0" xfId="0" applyFont="1" applyFill="1" applyAlignment="1">
      <alignment horizontal="left"/>
    </xf>
    <xf numFmtId="170" fontId="7" fillId="2" borderId="0" xfId="4" applyNumberFormat="1" applyFont="1" applyFill="1" applyAlignment="1"/>
    <xf numFmtId="166" fontId="7" fillId="6" borderId="7" xfId="2" applyNumberFormat="1" applyFont="1" applyFill="1" applyBorder="1" applyAlignment="1">
      <alignment horizontal="right"/>
    </xf>
    <xf numFmtId="0" fontId="7" fillId="2" borderId="0" xfId="4" applyFont="1" applyFill="1">
      <alignment vertical="top"/>
    </xf>
    <xf numFmtId="173" fontId="1" fillId="2" borderId="0" xfId="4" applyNumberFormat="1" applyFont="1" applyFill="1" applyAlignment="1"/>
    <xf numFmtId="170" fontId="4" fillId="2" borderId="2" xfId="4" applyNumberFormat="1" applyFont="1" applyFill="1" applyBorder="1" applyAlignment="1"/>
    <xf numFmtId="172" fontId="4" fillId="2" borderId="2" xfId="4" applyNumberFormat="1" applyFont="1" applyFill="1" applyBorder="1" applyAlignment="1"/>
    <xf numFmtId="170" fontId="4" fillId="2" borderId="0" xfId="4" applyNumberFormat="1" applyFont="1" applyFill="1" applyAlignment="1"/>
    <xf numFmtId="172" fontId="4" fillId="2" borderId="0" xfId="4" applyNumberFormat="1" applyFont="1" applyFill="1" applyAlignment="1"/>
    <xf numFmtId="174" fontId="4" fillId="2" borderId="0" xfId="2" applyNumberFormat="1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164" fontId="0" fillId="2" borderId="0" xfId="0" applyNumberFormat="1" applyFill="1" applyAlignment="1">
      <alignment horizontal="right"/>
    </xf>
    <xf numFmtId="41" fontId="3" fillId="2" borderId="3" xfId="0" applyNumberFormat="1" applyFont="1" applyFill="1" applyBorder="1"/>
    <xf numFmtId="169" fontId="10" fillId="2" borderId="0" xfId="0" applyNumberFormat="1" applyFont="1" applyFill="1"/>
    <xf numFmtId="168" fontId="9" fillId="2" borderId="0" xfId="0" applyNumberFormat="1" applyFont="1" applyFill="1" applyAlignment="1">
      <alignment horizontal="right"/>
    </xf>
    <xf numFmtId="165" fontId="10" fillId="2" borderId="0" xfId="3" applyNumberFormat="1" applyFont="1" applyFill="1" applyAlignment="1">
      <alignment horizontal="right"/>
    </xf>
    <xf numFmtId="165" fontId="10" fillId="2" borderId="0" xfId="3" applyNumberFormat="1" applyFont="1" applyFill="1" applyAlignment="1"/>
    <xf numFmtId="170" fontId="18" fillId="3" borderId="1" xfId="0" applyNumberFormat="1" applyFont="1" applyFill="1" applyBorder="1"/>
    <xf numFmtId="168" fontId="18" fillId="3" borderId="1" xfId="0" applyNumberFormat="1" applyFont="1" applyFill="1" applyBorder="1" applyAlignment="1">
      <alignment horizontal="right"/>
    </xf>
    <xf numFmtId="165" fontId="18" fillId="3" borderId="1" xfId="0" applyNumberFormat="1" applyFont="1" applyFill="1" applyBorder="1" applyAlignment="1">
      <alignment horizontal="right"/>
    </xf>
    <xf numFmtId="165" fontId="18" fillId="3" borderId="1" xfId="0" applyNumberFormat="1" applyFont="1" applyFill="1" applyBorder="1"/>
    <xf numFmtId="169" fontId="29" fillId="8" borderId="0" xfId="0" applyNumberFormat="1" applyFont="1" applyFill="1"/>
    <xf numFmtId="41" fontId="3" fillId="2" borderId="3" xfId="0" applyNumberFormat="1" applyFont="1" applyFill="1" applyBorder="1" applyAlignment="1">
      <alignment horizontal="center"/>
    </xf>
    <xf numFmtId="0" fontId="21" fillId="3" borderId="0" xfId="7" applyNumberFormat="1" applyFont="1" applyFill="1" applyBorder="1" applyAlignment="1">
      <alignment horizontal="center"/>
    </xf>
  </cellXfs>
  <cellStyles count="8">
    <cellStyle name="Comma" xfId="3" builtinId="3"/>
    <cellStyle name="Comma 2" xfId="5" xr:uid="{FB9F976D-E482-4A5B-8A74-C21AE939A3A3}"/>
    <cellStyle name="Hyperlink" xfId="1" builtinId="8"/>
    <cellStyle name="Normal" xfId="0" builtinId="0"/>
    <cellStyle name="Normal 2" xfId="4" xr:uid="{A10EABCB-2A14-4A8C-87A3-AC6B57272E94}"/>
    <cellStyle name="Normal_Project Accel Valuation v56" xfId="7" xr:uid="{B483E7DE-9CCB-45E6-A9D9-541F3516730C}"/>
    <cellStyle name="Percent" xfId="2" builtinId="5"/>
    <cellStyle name="Percent 2" xfId="6" xr:uid="{3ACE0F50-65AE-407F-A6ED-2815638A665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pakistan/corporate-tax-rate" TargetMode="External"/><Relationship Id="rId2" Type="http://schemas.openxmlformats.org/officeDocument/2006/relationships/hyperlink" Target="https://www.worldgovernmentbonds.com/bond-historical-data/pakistan/10-years/" TargetMode="External"/><Relationship Id="rId1" Type="http://schemas.openxmlformats.org/officeDocument/2006/relationships/hyperlink" Target="https://www.worldgovernmentbonds.com/bond-historical-data/pakistan/5-years/" TargetMode="External"/><Relationship Id="rId4" Type="http://schemas.openxmlformats.org/officeDocument/2006/relationships/hyperlink" Target="https://www.scstrade.com/stockscreening/SS_CompanySnapShot.aspx?symbol=PS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99F22-7BC3-4850-B4FD-8A177D0C06B7}">
  <dimension ref="B4:C13"/>
  <sheetViews>
    <sheetView tabSelected="1" workbookViewId="0"/>
  </sheetViews>
  <sheetFormatPr defaultRowHeight="12"/>
  <cols>
    <col min="1" max="1" width="2" style="1" customWidth="1"/>
    <col min="2" max="2" width="25.28515625" style="94" customWidth="1"/>
    <col min="3" max="3" width="21" style="1" bestFit="1" customWidth="1"/>
    <col min="4" max="16384" width="9.140625" style="1"/>
  </cols>
  <sheetData>
    <row r="4" spans="2:3" ht="18">
      <c r="B4" s="93" t="s">
        <v>30</v>
      </c>
    </row>
    <row r="5" spans="2:3">
      <c r="B5" s="94" t="s">
        <v>31</v>
      </c>
      <c r="C5" s="20" t="s">
        <v>118</v>
      </c>
    </row>
    <row r="6" spans="2:3">
      <c r="B6" s="94" t="s">
        <v>3</v>
      </c>
      <c r="C6" s="95" t="s">
        <v>119</v>
      </c>
    </row>
    <row r="7" spans="2:3">
      <c r="B7" s="94" t="s">
        <v>11</v>
      </c>
      <c r="C7" s="95" t="s">
        <v>120</v>
      </c>
    </row>
    <row r="8" spans="2:3">
      <c r="B8" s="94" t="s">
        <v>114</v>
      </c>
      <c r="C8" s="95" t="s">
        <v>131</v>
      </c>
    </row>
    <row r="9" spans="2:3">
      <c r="B9" s="118" t="s">
        <v>126</v>
      </c>
      <c r="C9" s="95"/>
    </row>
    <row r="10" spans="2:3">
      <c r="B10" s="94" t="s">
        <v>116</v>
      </c>
      <c r="C10" s="20" t="s">
        <v>121</v>
      </c>
    </row>
    <row r="11" spans="2:3">
      <c r="B11" s="94" t="s">
        <v>123</v>
      </c>
      <c r="C11" s="20" t="s">
        <v>122</v>
      </c>
    </row>
    <row r="12" spans="2:3">
      <c r="B12" s="94" t="s">
        <v>117</v>
      </c>
      <c r="C12" s="20" t="s">
        <v>124</v>
      </c>
    </row>
    <row r="13" spans="2:3">
      <c r="B13" s="94" t="s">
        <v>99</v>
      </c>
      <c r="C13" s="20" t="s">
        <v>125</v>
      </c>
    </row>
  </sheetData>
  <phoneticPr fontId="6" type="noConversion"/>
  <hyperlinks>
    <hyperlink ref="C5" location="Drivers!A1" display="Drivers!A1" xr:uid="{F1AD716B-0943-4B47-8937-A293EC8B62F0}"/>
    <hyperlink ref="C6" location="'Income Statement'!A1" display="'Income Statement'!A1" xr:uid="{6FFD851D-064D-4D72-AD28-1F4225D758AF}"/>
    <hyperlink ref="C7" location="'Financial Position'!A1" display="'Financial Position'!A1" xr:uid="{D3A3194C-8497-4C93-9172-1681DF0F19AB}"/>
    <hyperlink ref="C8" location="'DCF Valuation'!A1" display=" DCF Valuation'!A1" xr:uid="{9114E6A8-854F-483A-B9F9-C6D550A7DD9B}"/>
    <hyperlink ref="C10" location="PPE!A1" display="PPE!A1" xr:uid="{866CA399-AE57-4D8B-9297-74E66C010210}"/>
    <hyperlink ref="C11" location="WC!A1" display="WC!A1" xr:uid="{E7A86E8E-63B4-49C7-9599-FDFD58CD3B30}"/>
    <hyperlink ref="C12" location="CIE!A1" display="CIE!A1" xr:uid="{8B02CA65-47EC-49BB-87FE-A1483295C17E}"/>
    <hyperlink ref="C13" location="WACC!A1" display="WACC!A1" xr:uid="{A0A7E313-D157-4C36-B400-1CA53C07D07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BD9B6-0477-4039-9A6F-5B428166AD87}">
  <dimension ref="B1:D11"/>
  <sheetViews>
    <sheetView workbookViewId="0">
      <selection activeCell="C3" sqref="C3"/>
    </sheetView>
  </sheetViews>
  <sheetFormatPr defaultRowHeight="12"/>
  <cols>
    <col min="1" max="1" width="2" style="1" customWidth="1"/>
    <col min="2" max="2" width="29.85546875" style="1" bestFit="1" customWidth="1"/>
    <col min="3" max="3" width="14.28515625" style="1" bestFit="1" customWidth="1"/>
    <col min="4" max="4" width="12.42578125" style="1" customWidth="1"/>
    <col min="5" max="5" width="10" style="1" customWidth="1"/>
    <col min="6" max="16384" width="9.140625" style="1"/>
  </cols>
  <sheetData>
    <row r="1" spans="2:4" ht="15.75">
      <c r="B1" s="2" t="s">
        <v>31</v>
      </c>
    </row>
    <row r="3" spans="2:4">
      <c r="B3" s="19" t="s">
        <v>32</v>
      </c>
      <c r="C3" s="21" t="s">
        <v>158</v>
      </c>
    </row>
    <row r="4" spans="2:4">
      <c r="B4" s="19" t="s">
        <v>33</v>
      </c>
      <c r="C4" s="22" t="s">
        <v>37</v>
      </c>
    </row>
    <row r="5" spans="2:4">
      <c r="B5" s="19" t="s">
        <v>34</v>
      </c>
      <c r="C5" s="22" t="s">
        <v>36</v>
      </c>
    </row>
    <row r="6" spans="2:4">
      <c r="B6" s="19" t="s">
        <v>153</v>
      </c>
      <c r="C6" s="23">
        <v>0.1588</v>
      </c>
      <c r="D6" s="51" t="s">
        <v>84</v>
      </c>
    </row>
    <row r="7" spans="2:4">
      <c r="B7" s="19" t="s">
        <v>154</v>
      </c>
      <c r="C7" s="23">
        <v>0.14634</v>
      </c>
      <c r="D7" s="51" t="s">
        <v>98</v>
      </c>
    </row>
    <row r="8" spans="2:4">
      <c r="B8" s="19" t="s">
        <v>38</v>
      </c>
      <c r="C8" s="66">
        <v>0.08</v>
      </c>
      <c r="D8" s="1" t="s">
        <v>97</v>
      </c>
    </row>
    <row r="9" spans="2:4">
      <c r="B9" s="19" t="s">
        <v>155</v>
      </c>
      <c r="C9" s="22">
        <v>0.24</v>
      </c>
      <c r="D9" s="20" t="s">
        <v>157</v>
      </c>
    </row>
    <row r="10" spans="2:4">
      <c r="B10" s="19" t="s">
        <v>35</v>
      </c>
      <c r="C10" s="21">
        <v>0.3</v>
      </c>
      <c r="D10" s="20" t="s">
        <v>40</v>
      </c>
    </row>
    <row r="11" spans="2:4">
      <c r="B11" s="19" t="s">
        <v>156</v>
      </c>
      <c r="C11" s="21">
        <v>0.06</v>
      </c>
    </row>
  </sheetData>
  <hyperlinks>
    <hyperlink ref="D6" r:id="rId1" xr:uid="{36C6DC66-AEEC-435A-B4FA-1A24565D2682}"/>
    <hyperlink ref="D7" r:id="rId2" xr:uid="{B484C3EC-EF3E-406F-AB82-F3ED23376288}"/>
    <hyperlink ref="D10" r:id="rId3" location=":~:text=The%20Corporate%20Tax%20Rate%20in,of%20Revenue%2C%20Government%20of%20Pakistan" xr:uid="{245640BC-0781-4114-A64F-76508ACF2BC4}"/>
    <hyperlink ref="D9" r:id="rId4" xr:uid="{16A2C57E-056B-4FF7-9ADA-B5679B3F5B4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A3981-4D26-4D80-86FC-4D91D445DB9F}">
  <dimension ref="B1:I24"/>
  <sheetViews>
    <sheetView zoomScale="90" zoomScaleNormal="90" workbookViewId="0">
      <selection activeCell="B1" sqref="B1"/>
    </sheetView>
  </sheetViews>
  <sheetFormatPr defaultRowHeight="15"/>
  <cols>
    <col min="1" max="1" width="2" style="1" customWidth="1"/>
    <col min="2" max="2" width="35" style="1" bestFit="1" customWidth="1"/>
    <col min="3" max="3" width="11.7109375" style="17" customWidth="1"/>
    <col min="4" max="4" width="11.7109375" style="3" customWidth="1"/>
    <col min="5" max="7" width="12.5703125" style="4" bestFit="1" customWidth="1"/>
    <col min="8" max="8" width="13.5703125" style="4" bestFit="1" customWidth="1"/>
    <col min="9" max="9" width="14.140625" style="4" bestFit="1" customWidth="1"/>
    <col min="10" max="16384" width="9.140625" style="1"/>
  </cols>
  <sheetData>
    <row r="1" spans="2:9" ht="15.75">
      <c r="B1" s="28" t="s">
        <v>158</v>
      </c>
    </row>
    <row r="2" spans="2:9">
      <c r="B2" s="6" t="s">
        <v>129</v>
      </c>
    </row>
    <row r="3" spans="2:9">
      <c r="B3" s="6" t="s">
        <v>28</v>
      </c>
    </row>
    <row r="4" spans="2:9">
      <c r="E4" s="16"/>
      <c r="F4" s="16"/>
      <c r="G4" s="1"/>
      <c r="H4" s="1"/>
      <c r="I4" s="1"/>
    </row>
    <row r="5" spans="2:9" ht="12">
      <c r="B5" s="10"/>
      <c r="C5" s="27" t="s">
        <v>44</v>
      </c>
      <c r="D5" s="27" t="s">
        <v>45</v>
      </c>
      <c r="E5" s="26" t="s">
        <v>46</v>
      </c>
      <c r="F5" s="26" t="s">
        <v>47</v>
      </c>
      <c r="G5" s="26" t="s">
        <v>48</v>
      </c>
      <c r="H5" s="26" t="s">
        <v>49</v>
      </c>
      <c r="I5" s="26" t="s">
        <v>50</v>
      </c>
    </row>
    <row r="6" spans="2:9" ht="15.75" customHeight="1" thickBot="1">
      <c r="B6" s="15"/>
      <c r="C6" s="140" t="s">
        <v>148</v>
      </c>
      <c r="D6" s="140"/>
      <c r="E6" s="140"/>
      <c r="F6" s="140"/>
      <c r="G6" s="140"/>
      <c r="H6" s="140"/>
      <c r="I6" s="140"/>
    </row>
    <row r="7" spans="2:9" ht="12">
      <c r="B7" s="1" t="s">
        <v>4</v>
      </c>
      <c r="C7" s="3">
        <v>4506470</v>
      </c>
      <c r="D7" s="3">
        <v>4886807</v>
      </c>
      <c r="E7" s="41">
        <f>D7*(1+E20)</f>
        <v>5299243.6774790464</v>
      </c>
      <c r="F7" s="41">
        <f>E7*(1+F20)</f>
        <v>5746489.1806248231</v>
      </c>
      <c r="G7" s="41">
        <f>F7*(1+G20)</f>
        <v>6231481.3042806564</v>
      </c>
      <c r="H7" s="41">
        <f>G7*(1+H20)</f>
        <v>6757405.7872631662</v>
      </c>
      <c r="I7" s="41">
        <f>H7*(1+I20)</f>
        <v>7327717.2383346939</v>
      </c>
    </row>
    <row r="8" spans="2:9" ht="12">
      <c r="B8" s="1" t="s">
        <v>5</v>
      </c>
      <c r="C8" s="3">
        <v>-3160377</v>
      </c>
      <c r="D8" s="3">
        <v>-3511653</v>
      </c>
      <c r="E8" s="41">
        <f>-E7*E21</f>
        <v>-3762188.3977560257</v>
      </c>
      <c r="F8" s="41">
        <f>-F7*F21</f>
        <v>-4079709.528183463</v>
      </c>
      <c r="G8" s="41">
        <f>-G7*G21</f>
        <v>-4424028.8030972453</v>
      </c>
      <c r="H8" s="41">
        <f>-H7*H21</f>
        <v>-4797407.9319683118</v>
      </c>
      <c r="I8" s="41">
        <f>-I7*I21</f>
        <v>-5202299.507995897</v>
      </c>
    </row>
    <row r="9" spans="2:9" ht="12">
      <c r="B9" s="13" t="s">
        <v>6</v>
      </c>
      <c r="C9" s="14">
        <f t="shared" ref="C9:I9" si="0">SUM(C7:C8)</f>
        <v>1346093</v>
      </c>
      <c r="D9" s="14">
        <f t="shared" si="0"/>
        <v>1375154</v>
      </c>
      <c r="E9" s="42">
        <f t="shared" si="0"/>
        <v>1537055.2797230207</v>
      </c>
      <c r="F9" s="42">
        <f t="shared" si="0"/>
        <v>1666779.6524413601</v>
      </c>
      <c r="G9" s="42">
        <f t="shared" si="0"/>
        <v>1807452.5011834111</v>
      </c>
      <c r="H9" s="42">
        <f t="shared" si="0"/>
        <v>1959997.8552948544</v>
      </c>
      <c r="I9" s="42">
        <f t="shared" si="0"/>
        <v>2125417.730338797</v>
      </c>
    </row>
    <row r="10" spans="2:9" ht="12">
      <c r="C10" s="3"/>
      <c r="E10" s="41"/>
      <c r="F10" s="41"/>
      <c r="G10" s="41"/>
      <c r="H10" s="41"/>
      <c r="I10" s="41"/>
    </row>
    <row r="11" spans="2:9" ht="12">
      <c r="B11" s="6" t="s">
        <v>7</v>
      </c>
      <c r="C11" s="3"/>
      <c r="E11" s="41"/>
      <c r="F11" s="41"/>
      <c r="G11" s="41"/>
      <c r="H11" s="41"/>
      <c r="I11" s="41"/>
    </row>
    <row r="12" spans="2:9" ht="12">
      <c r="B12" s="1" t="s">
        <v>8</v>
      </c>
      <c r="C12" s="3">
        <v>-684349</v>
      </c>
      <c r="D12" s="3">
        <v>-743112</v>
      </c>
      <c r="E12" s="41">
        <f>-E7*E22</f>
        <v>-805284.07321285922</v>
      </c>
      <c r="F12" s="41">
        <f t="shared" ref="F12:I12" si="1">-F7*F22</f>
        <v>-873248.42858492641</v>
      </c>
      <c r="G12" s="41">
        <f t="shared" si="1"/>
        <v>-946948.8387912974</v>
      </c>
      <c r="H12" s="41">
        <f t="shared" si="1"/>
        <v>-1026869.415317795</v>
      </c>
      <c r="I12" s="41">
        <f t="shared" si="1"/>
        <v>-1113535.1276855071</v>
      </c>
    </row>
    <row r="13" spans="2:9" ht="12">
      <c r="B13" s="1" t="s">
        <v>9</v>
      </c>
      <c r="C13" s="3">
        <v>23685</v>
      </c>
      <c r="D13" s="3">
        <v>27583</v>
      </c>
      <c r="E13" s="41">
        <f>E7*E23</f>
        <v>28881.295557508562</v>
      </c>
      <c r="F13" s="41">
        <f t="shared" ref="F13:I13" si="2">F7*F23</f>
        <v>31318.818787099823</v>
      </c>
      <c r="G13" s="41">
        <f t="shared" si="2"/>
        <v>33962.064072440495</v>
      </c>
      <c r="H13" s="41">
        <f t="shared" si="2"/>
        <v>36828.393941078211</v>
      </c>
      <c r="I13" s="41">
        <f t="shared" si="2"/>
        <v>39936.636282948421</v>
      </c>
    </row>
    <row r="14" spans="2:9" ht="12">
      <c r="B14" s="13" t="s">
        <v>10</v>
      </c>
      <c r="C14" s="14">
        <f>SUM(C9,C12:C13)</f>
        <v>685429</v>
      </c>
      <c r="D14" s="14">
        <f t="shared" ref="D14:I14" si="3">SUM(D9,D12:D13)</f>
        <v>659625</v>
      </c>
      <c r="E14" s="42">
        <f>SUM(E9,E12:E13)</f>
        <v>760652.50206767011</v>
      </c>
      <c r="F14" s="42">
        <f t="shared" si="3"/>
        <v>824850.04264353344</v>
      </c>
      <c r="G14" s="42">
        <f t="shared" si="3"/>
        <v>894465.7264645542</v>
      </c>
      <c r="H14" s="42">
        <f t="shared" si="3"/>
        <v>969956.83391813759</v>
      </c>
      <c r="I14" s="42">
        <f t="shared" si="3"/>
        <v>1051819.2389362382</v>
      </c>
    </row>
    <row r="15" spans="2:9" ht="12">
      <c r="C15" s="3"/>
      <c r="E15" s="41"/>
      <c r="F15" s="41"/>
      <c r="G15" s="41"/>
      <c r="H15" s="41"/>
      <c r="I15" s="41"/>
    </row>
    <row r="16" spans="2:9" ht="12">
      <c r="B16" s="1" t="s">
        <v>1</v>
      </c>
      <c r="C16" s="3">
        <v>-533305</v>
      </c>
      <c r="D16" s="3">
        <v>-876956</v>
      </c>
      <c r="E16" s="41">
        <f>-E7*E24</f>
        <v>-789046.40094241861</v>
      </c>
      <c r="F16" s="41">
        <f t="shared" ref="F16:I16" si="4">-F7*F24</f>
        <v>-855640.32944859681</v>
      </c>
      <c r="G16" s="41">
        <f t="shared" si="4"/>
        <v>-927854.65151919553</v>
      </c>
      <c r="H16" s="41">
        <f t="shared" si="4"/>
        <v>-1006163.7170615947</v>
      </c>
      <c r="I16" s="41">
        <f t="shared" si="4"/>
        <v>-1091081.9101608621</v>
      </c>
    </row>
    <row r="17" spans="2:9" ht="12">
      <c r="B17" s="13" t="s">
        <v>0</v>
      </c>
      <c r="C17" s="14">
        <f t="shared" ref="C17:I17" si="5">SUM(C14:C16)</f>
        <v>152124</v>
      </c>
      <c r="D17" s="14">
        <f t="shared" si="5"/>
        <v>-217331</v>
      </c>
      <c r="E17" s="42">
        <f t="shared" si="5"/>
        <v>-28393.898874748498</v>
      </c>
      <c r="F17" s="42">
        <f t="shared" si="5"/>
        <v>-30790.28680506337</v>
      </c>
      <c r="G17" s="42">
        <f t="shared" si="5"/>
        <v>-33388.925054641324</v>
      </c>
      <c r="H17" s="42">
        <f t="shared" si="5"/>
        <v>-36206.883143457118</v>
      </c>
      <c r="I17" s="42">
        <f t="shared" si="5"/>
        <v>-39262.671224623919</v>
      </c>
    </row>
    <row r="18" spans="2:9" ht="12">
      <c r="C18" s="3"/>
      <c r="E18" s="41"/>
      <c r="F18" s="41"/>
      <c r="G18" s="41"/>
      <c r="H18" s="41"/>
      <c r="I18" s="41"/>
    </row>
    <row r="20" spans="2:9">
      <c r="B20" s="1" t="s">
        <v>4</v>
      </c>
      <c r="D20" s="128">
        <f>D7/C7-1</f>
        <v>8.439798778201113E-2</v>
      </c>
      <c r="E20" s="128">
        <f>$D$20</f>
        <v>8.439798778201113E-2</v>
      </c>
      <c r="F20" s="128">
        <f t="shared" ref="F20:I20" si="6">$D$20</f>
        <v>8.439798778201113E-2</v>
      </c>
      <c r="G20" s="128">
        <f t="shared" si="6"/>
        <v>8.439798778201113E-2</v>
      </c>
      <c r="H20" s="128">
        <f t="shared" si="6"/>
        <v>8.439798778201113E-2</v>
      </c>
      <c r="I20" s="128">
        <f t="shared" si="6"/>
        <v>8.439798778201113E-2</v>
      </c>
    </row>
    <row r="21" spans="2:9">
      <c r="B21" s="1" t="s">
        <v>149</v>
      </c>
      <c r="C21" s="129">
        <f>-C8/C7</f>
        <v>0.70129768976604745</v>
      </c>
      <c r="D21" s="129">
        <f>-D8/D7</f>
        <v>0.71859866780087689</v>
      </c>
      <c r="E21" s="128">
        <f>AVERAGE($C21:$D21)</f>
        <v>0.70994817878346217</v>
      </c>
      <c r="F21" s="128">
        <f t="shared" ref="F21:I24" si="7">AVERAGE($C21:$D21)</f>
        <v>0.70994817878346217</v>
      </c>
      <c r="G21" s="128">
        <f t="shared" si="7"/>
        <v>0.70994817878346217</v>
      </c>
      <c r="H21" s="128">
        <f t="shared" si="7"/>
        <v>0.70994817878346217</v>
      </c>
      <c r="I21" s="128">
        <f t="shared" si="7"/>
        <v>0.70994817878346217</v>
      </c>
    </row>
    <row r="22" spans="2:9">
      <c r="B22" s="1" t="s">
        <v>150</v>
      </c>
      <c r="C22" s="129">
        <f>-C12/C7</f>
        <v>0.15185921574979974</v>
      </c>
      <c r="D22" s="129">
        <f>-D12/D7</f>
        <v>0.15206493728931794</v>
      </c>
      <c r="E22" s="128">
        <f>AVERAGE($C22:$D22)</f>
        <v>0.15196207651955884</v>
      </c>
      <c r="F22" s="128">
        <f t="shared" si="7"/>
        <v>0.15196207651955884</v>
      </c>
      <c r="G22" s="128">
        <f t="shared" si="7"/>
        <v>0.15196207651955884</v>
      </c>
      <c r="H22" s="128">
        <f t="shared" si="7"/>
        <v>0.15196207651955884</v>
      </c>
      <c r="I22" s="128">
        <f t="shared" si="7"/>
        <v>0.15196207651955884</v>
      </c>
    </row>
    <row r="23" spans="2:9">
      <c r="B23" s="1" t="s">
        <v>151</v>
      </c>
      <c r="C23" s="129">
        <f>C13/C7</f>
        <v>5.2557766943971667E-3</v>
      </c>
      <c r="D23" s="129">
        <f>D13/D7</f>
        <v>5.644380881012899E-3</v>
      </c>
      <c r="E23" s="128">
        <f>AVERAGE($C23:$D23)</f>
        <v>5.4500787877050328E-3</v>
      </c>
      <c r="F23" s="128">
        <f t="shared" si="7"/>
        <v>5.4500787877050328E-3</v>
      </c>
      <c r="G23" s="128">
        <f t="shared" si="7"/>
        <v>5.4500787877050328E-3</v>
      </c>
      <c r="H23" s="128">
        <f t="shared" si="7"/>
        <v>5.4500787877050328E-3</v>
      </c>
      <c r="I23" s="128">
        <f t="shared" si="7"/>
        <v>5.4500787877050328E-3</v>
      </c>
    </row>
    <row r="24" spans="2:9">
      <c r="B24" s="1" t="s">
        <v>152</v>
      </c>
      <c r="C24" s="129">
        <f>-C16/C7</f>
        <v>0.11834207262003298</v>
      </c>
      <c r="D24" s="129">
        <f>-D16/D7</f>
        <v>0.1794537823981999</v>
      </c>
      <c r="E24" s="128">
        <f>AVERAGE($C24:$D24)</f>
        <v>0.14889792750911643</v>
      </c>
      <c r="F24" s="128">
        <f t="shared" si="7"/>
        <v>0.14889792750911643</v>
      </c>
      <c r="G24" s="128">
        <f t="shared" si="7"/>
        <v>0.14889792750911643</v>
      </c>
      <c r="H24" s="128">
        <f t="shared" si="7"/>
        <v>0.14889792750911643</v>
      </c>
      <c r="I24" s="128">
        <f t="shared" si="7"/>
        <v>0.14889792750911643</v>
      </c>
    </row>
  </sheetData>
  <mergeCells count="1">
    <mergeCell ref="C6:I6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555DA-692B-467C-B2F1-094A7509EDE6}">
  <dimension ref="B1:M49"/>
  <sheetViews>
    <sheetView zoomScale="90" zoomScaleNormal="90" workbookViewId="0">
      <selection activeCell="B1" sqref="B1"/>
    </sheetView>
  </sheetViews>
  <sheetFormatPr defaultRowHeight="15"/>
  <cols>
    <col min="1" max="1" width="2" style="1" customWidth="1"/>
    <col min="2" max="2" width="35.42578125" style="1" customWidth="1"/>
    <col min="3" max="4" width="11.7109375" style="3" customWidth="1"/>
    <col min="5" max="5" width="12.7109375" style="12" customWidth="1"/>
    <col min="6" max="7" width="12.7109375" style="1" customWidth="1"/>
    <col min="8" max="8" width="15.5703125" style="1" customWidth="1"/>
    <col min="9" max="9" width="13.5703125" style="1" customWidth="1"/>
    <col min="10" max="10" width="22" style="1" bestFit="1" customWidth="1"/>
    <col min="11" max="11" width="10" style="1" bestFit="1" customWidth="1"/>
    <col min="12" max="12" width="11" style="1" bestFit="1" customWidth="1"/>
    <col min="13" max="13" width="10" style="1" bestFit="1" customWidth="1"/>
    <col min="14" max="16384" width="9.140625" style="1"/>
  </cols>
  <sheetData>
    <row r="1" spans="2:13" ht="15.75">
      <c r="B1" s="28" t="s">
        <v>158</v>
      </c>
    </row>
    <row r="2" spans="2:13">
      <c r="B2" s="6" t="s">
        <v>128</v>
      </c>
    </row>
    <row r="3" spans="2:13">
      <c r="B3" s="18" t="s">
        <v>29</v>
      </c>
    </row>
    <row r="4" spans="2:13" ht="12">
      <c r="E4" s="1"/>
    </row>
    <row r="5" spans="2:13" ht="12">
      <c r="B5" s="10"/>
      <c r="C5" s="31" t="s">
        <v>52</v>
      </c>
      <c r="D5" s="31" t="s">
        <v>53</v>
      </c>
      <c r="E5" s="31" t="s">
        <v>54</v>
      </c>
      <c r="F5" s="31" t="s">
        <v>55</v>
      </c>
      <c r="G5" s="31" t="s">
        <v>56</v>
      </c>
      <c r="H5" s="31" t="s">
        <v>57</v>
      </c>
      <c r="I5" s="31" t="s">
        <v>58</v>
      </c>
    </row>
    <row r="6" spans="2:13" ht="15.75" customHeight="1" thickBot="1">
      <c r="B6" s="15"/>
      <c r="C6" s="140" t="s">
        <v>148</v>
      </c>
      <c r="D6" s="140"/>
      <c r="E6" s="140"/>
      <c r="F6" s="140"/>
      <c r="G6" s="140"/>
      <c r="H6" s="140"/>
      <c r="I6" s="140"/>
      <c r="J6" s="47" t="s">
        <v>73</v>
      </c>
    </row>
    <row r="7" spans="2:13">
      <c r="B7" s="6" t="s">
        <v>13</v>
      </c>
      <c r="E7" s="45"/>
      <c r="F7" s="46"/>
      <c r="G7" s="46"/>
      <c r="H7" s="46"/>
      <c r="I7" s="46"/>
    </row>
    <row r="8" spans="2:13">
      <c r="B8" s="6" t="s">
        <v>14</v>
      </c>
      <c r="E8" s="45"/>
      <c r="F8" s="46"/>
      <c r="G8" s="46"/>
      <c r="H8" s="46"/>
      <c r="I8" s="46"/>
    </row>
    <row r="9" spans="2:13" ht="12">
      <c r="B9" s="1" t="s">
        <v>59</v>
      </c>
      <c r="C9" s="3">
        <v>1055519</v>
      </c>
      <c r="D9" s="3">
        <v>1299927</v>
      </c>
      <c r="E9" s="41">
        <f>PPE!E8</f>
        <v>1299927</v>
      </c>
      <c r="F9" s="41">
        <f>PPE!F8</f>
        <v>1299927</v>
      </c>
      <c r="G9" s="41">
        <f>PPE!G8</f>
        <v>1299927</v>
      </c>
      <c r="H9" s="41">
        <f>PPE!H8</f>
        <v>1299927</v>
      </c>
      <c r="I9" s="41">
        <f>PPE!I8</f>
        <v>1299927</v>
      </c>
      <c r="J9" s="48" t="s">
        <v>76</v>
      </c>
      <c r="L9" s="3">
        <v>21961</v>
      </c>
      <c r="M9" s="3">
        <v>39631</v>
      </c>
    </row>
    <row r="10" spans="2:13" ht="12">
      <c r="B10" s="1" t="s">
        <v>140</v>
      </c>
      <c r="C10" s="3">
        <v>9441</v>
      </c>
      <c r="D10" s="3">
        <v>9441</v>
      </c>
      <c r="E10" s="41">
        <v>9441</v>
      </c>
      <c r="F10" s="41">
        <v>9441</v>
      </c>
      <c r="G10" s="41">
        <v>9441</v>
      </c>
      <c r="H10" s="41">
        <v>9441</v>
      </c>
      <c r="I10" s="41">
        <v>9441</v>
      </c>
      <c r="J10" s="19" t="s">
        <v>74</v>
      </c>
    </row>
    <row r="11" spans="2:13" ht="12">
      <c r="B11" s="13" t="s">
        <v>15</v>
      </c>
      <c r="C11" s="14">
        <f t="shared" ref="C11:I11" si="0">SUM(C9:C10)</f>
        <v>1064960</v>
      </c>
      <c r="D11" s="14">
        <f t="shared" si="0"/>
        <v>1309368</v>
      </c>
      <c r="E11" s="42">
        <f t="shared" si="0"/>
        <v>1309368</v>
      </c>
      <c r="F11" s="42">
        <f t="shared" si="0"/>
        <v>1309368</v>
      </c>
      <c r="G11" s="42">
        <f t="shared" si="0"/>
        <v>1309368</v>
      </c>
      <c r="H11" s="42">
        <f t="shared" si="0"/>
        <v>1309368</v>
      </c>
      <c r="I11" s="42">
        <f t="shared" si="0"/>
        <v>1309368</v>
      </c>
    </row>
    <row r="12" spans="2:13" ht="12">
      <c r="B12" s="6" t="s">
        <v>16</v>
      </c>
      <c r="E12" s="41"/>
      <c r="F12" s="41"/>
      <c r="G12" s="41"/>
      <c r="H12" s="41"/>
      <c r="I12" s="41"/>
    </row>
    <row r="13" spans="2:13" ht="12">
      <c r="B13" s="1" t="s">
        <v>141</v>
      </c>
      <c r="C13" s="3">
        <v>207396</v>
      </c>
      <c r="D13" s="3">
        <v>253148</v>
      </c>
      <c r="E13" s="41">
        <f>WC!E6</f>
        <v>259048.87673423367</v>
      </c>
      <c r="F13" s="41">
        <f>WC!F6</f>
        <v>280912.08066779329</v>
      </c>
      <c r="G13" s="41">
        <f>WC!G6</f>
        <v>304620.49501981301</v>
      </c>
      <c r="H13" s="41">
        <f>WC!H6</f>
        <v>330329.85183664534</v>
      </c>
      <c r="I13" s="41">
        <f>WC!I6</f>
        <v>358209.02663598809</v>
      </c>
      <c r="J13" s="48" t="s">
        <v>75</v>
      </c>
    </row>
    <row r="14" spans="2:13" ht="12">
      <c r="B14" s="1" t="s">
        <v>17</v>
      </c>
      <c r="C14" s="3">
        <v>310367</v>
      </c>
      <c r="D14" s="3">
        <v>249894</v>
      </c>
      <c r="E14" s="41">
        <f>WC!E5</f>
        <v>317975.50088052725</v>
      </c>
      <c r="F14" s="41">
        <f>WC!F5</f>
        <v>344811.9933188209</v>
      </c>
      <c r="G14" s="41">
        <f>WC!G5</f>
        <v>373913.43171803362</v>
      </c>
      <c r="H14" s="41">
        <f>WC!H5</f>
        <v>405470.97295970214</v>
      </c>
      <c r="I14" s="41">
        <f>WC!I5</f>
        <v>439691.90718151518</v>
      </c>
      <c r="J14" s="48" t="s">
        <v>75</v>
      </c>
      <c r="L14" s="16">
        <f>C9-C45</f>
        <v>1055519</v>
      </c>
      <c r="M14" s="16">
        <f>D9-D45</f>
        <v>1299927</v>
      </c>
    </row>
    <row r="15" spans="2:13" ht="12">
      <c r="B15" s="1" t="s">
        <v>144</v>
      </c>
      <c r="C15" s="3">
        <v>8501</v>
      </c>
      <c r="D15" s="3">
        <v>194</v>
      </c>
      <c r="E15" s="41">
        <v>194</v>
      </c>
      <c r="F15" s="41">
        <v>194</v>
      </c>
      <c r="G15" s="41">
        <v>194</v>
      </c>
      <c r="H15" s="41">
        <v>194</v>
      </c>
      <c r="I15" s="41">
        <v>194</v>
      </c>
      <c r="J15" s="19" t="s">
        <v>74</v>
      </c>
    </row>
    <row r="16" spans="2:13" ht="12">
      <c r="B16" s="1" t="s">
        <v>145</v>
      </c>
      <c r="C16" s="3">
        <v>4274</v>
      </c>
      <c r="D16" s="3">
        <v>3693</v>
      </c>
      <c r="E16" s="41">
        <v>3693</v>
      </c>
      <c r="F16" s="41">
        <v>3693</v>
      </c>
      <c r="G16" s="41">
        <v>3693</v>
      </c>
      <c r="H16" s="41">
        <v>3693</v>
      </c>
      <c r="I16" s="41">
        <v>3693</v>
      </c>
      <c r="J16" s="19" t="s">
        <v>74</v>
      </c>
    </row>
    <row r="17" spans="2:10" ht="12">
      <c r="B17" s="1" t="s">
        <v>142</v>
      </c>
      <c r="C17" s="3">
        <v>16927</v>
      </c>
      <c r="D17" s="3">
        <v>25489</v>
      </c>
      <c r="E17" s="41">
        <v>25489</v>
      </c>
      <c r="F17" s="41">
        <v>25489</v>
      </c>
      <c r="G17" s="41">
        <v>25489</v>
      </c>
      <c r="H17" s="41">
        <v>25489</v>
      </c>
      <c r="I17" s="41">
        <v>25489</v>
      </c>
      <c r="J17" s="19" t="s">
        <v>74</v>
      </c>
    </row>
    <row r="18" spans="2:10" ht="12">
      <c r="B18" s="1" t="s">
        <v>146</v>
      </c>
      <c r="C18" s="3">
        <v>34463</v>
      </c>
      <c r="D18" s="3">
        <v>104576</v>
      </c>
      <c r="E18" s="41">
        <v>104576</v>
      </c>
      <c r="F18" s="41">
        <v>104576</v>
      </c>
      <c r="G18" s="41">
        <v>104576</v>
      </c>
      <c r="H18" s="41">
        <v>104576</v>
      </c>
      <c r="I18" s="41">
        <v>104576</v>
      </c>
      <c r="J18" s="19" t="s">
        <v>74</v>
      </c>
    </row>
    <row r="19" spans="2:10" ht="12">
      <c r="B19" s="1" t="s">
        <v>147</v>
      </c>
      <c r="C19" s="3">
        <v>1733</v>
      </c>
      <c r="D19" s="3">
        <v>1733</v>
      </c>
      <c r="E19" s="41">
        <v>1733</v>
      </c>
      <c r="F19" s="41">
        <v>1733</v>
      </c>
      <c r="G19" s="41">
        <v>1733</v>
      </c>
      <c r="H19" s="41">
        <v>1733</v>
      </c>
      <c r="I19" s="41">
        <v>1733</v>
      </c>
      <c r="J19" s="19" t="s">
        <v>74</v>
      </c>
    </row>
    <row r="20" spans="2:10" ht="12">
      <c r="B20" s="1" t="s">
        <v>18</v>
      </c>
      <c r="C20" s="3">
        <v>22971</v>
      </c>
      <c r="D20" s="3">
        <v>22345</v>
      </c>
      <c r="E20" s="41">
        <f>'DCF Valuation'!H24</f>
        <v>-183796.64411682868</v>
      </c>
      <c r="F20" s="41">
        <f>'DCF Valuation'!I24</f>
        <v>-206894.0328345059</v>
      </c>
      <c r="G20" s="41">
        <f>'DCF Valuation'!J24</f>
        <v>-231940.79468297365</v>
      </c>
      <c r="H20" s="41">
        <f>'DCF Valuation'!K24</f>
        <v>-259101.45283190697</v>
      </c>
      <c r="I20" s="41">
        <f>'DCF Valuation'!L24</f>
        <v>-288554.41587544582</v>
      </c>
      <c r="J20" s="95" t="s">
        <v>131</v>
      </c>
    </row>
    <row r="21" spans="2:10" ht="12">
      <c r="B21" s="1" t="s">
        <v>143</v>
      </c>
      <c r="C21" s="3">
        <v>1317</v>
      </c>
      <c r="D21" s="3">
        <v>866</v>
      </c>
      <c r="E21" s="41">
        <v>866</v>
      </c>
      <c r="F21" s="41">
        <v>866</v>
      </c>
      <c r="G21" s="41">
        <v>866</v>
      </c>
      <c r="H21" s="41">
        <v>866</v>
      </c>
      <c r="I21" s="41">
        <v>866</v>
      </c>
      <c r="J21" s="19" t="s">
        <v>74</v>
      </c>
    </row>
    <row r="22" spans="2:10" ht="12">
      <c r="B22" s="11" t="s">
        <v>15</v>
      </c>
      <c r="C22" s="14">
        <f>SUM(C13:C21)</f>
        <v>607949</v>
      </c>
      <c r="D22" s="14">
        <f>SUM(D13:D21)</f>
        <v>661938</v>
      </c>
      <c r="E22" s="42">
        <f>SUM(E13:E21)</f>
        <v>529778.7334979322</v>
      </c>
      <c r="F22" s="42">
        <f t="shared" ref="F22:I22" si="1">SUM(F13:F21)</f>
        <v>555381.04115210823</v>
      </c>
      <c r="G22" s="42">
        <f t="shared" si="1"/>
        <v>583144.13205487293</v>
      </c>
      <c r="H22" s="42">
        <f t="shared" si="1"/>
        <v>613250.37196444045</v>
      </c>
      <c r="I22" s="42">
        <f t="shared" si="1"/>
        <v>645897.51794205746</v>
      </c>
    </row>
    <row r="23" spans="2:10" ht="12">
      <c r="C23" s="9"/>
      <c r="D23" s="9"/>
      <c r="E23" s="44"/>
      <c r="F23" s="44"/>
      <c r="G23" s="44"/>
      <c r="H23" s="44"/>
      <c r="I23" s="44"/>
    </row>
    <row r="24" spans="2:10" ht="12.75" thickBot="1">
      <c r="B24" s="7" t="s">
        <v>19</v>
      </c>
      <c r="C24" s="8">
        <f t="shared" ref="C24:I24" si="2">SUM(C11,C22)</f>
        <v>1672909</v>
      </c>
      <c r="D24" s="8">
        <f t="shared" si="2"/>
        <v>1971306</v>
      </c>
      <c r="E24" s="43">
        <f t="shared" si="2"/>
        <v>1839146.7334979321</v>
      </c>
      <c r="F24" s="43">
        <f t="shared" si="2"/>
        <v>1864749.0411521082</v>
      </c>
      <c r="G24" s="43">
        <f t="shared" si="2"/>
        <v>1892512.1320548728</v>
      </c>
      <c r="H24" s="43">
        <f t="shared" si="2"/>
        <v>1922618.3719644404</v>
      </c>
      <c r="I24" s="43">
        <f t="shared" si="2"/>
        <v>1955265.5179420575</v>
      </c>
    </row>
    <row r="25" spans="2:10" ht="12">
      <c r="B25" s="1" t="s">
        <v>15</v>
      </c>
      <c r="E25" s="41"/>
      <c r="F25" s="41"/>
      <c r="G25" s="41"/>
      <c r="H25" s="41"/>
      <c r="I25" s="41"/>
    </row>
    <row r="26" spans="2:10" ht="12">
      <c r="B26" s="6" t="s">
        <v>20</v>
      </c>
      <c r="E26" s="41"/>
      <c r="F26" s="41"/>
      <c r="G26" s="41"/>
      <c r="H26" s="41"/>
      <c r="I26" s="41"/>
    </row>
    <row r="27" spans="2:10" ht="12">
      <c r="B27" s="6" t="s">
        <v>21</v>
      </c>
      <c r="E27" s="41"/>
      <c r="F27" s="41"/>
      <c r="G27" s="41"/>
      <c r="H27" s="41"/>
      <c r="I27" s="41"/>
    </row>
    <row r="28" spans="2:10" ht="12">
      <c r="E28" s="41"/>
      <c r="F28" s="41"/>
      <c r="G28" s="41"/>
      <c r="H28" s="41"/>
      <c r="I28" s="41"/>
    </row>
    <row r="29" spans="2:10" ht="12">
      <c r="B29" s="1" t="s">
        <v>135</v>
      </c>
      <c r="C29" s="3">
        <v>516779</v>
      </c>
      <c r="D29" s="3">
        <v>412816</v>
      </c>
      <c r="E29" s="41"/>
      <c r="F29" s="41"/>
      <c r="G29" s="41"/>
      <c r="H29" s="41"/>
      <c r="I29" s="41"/>
    </row>
    <row r="30" spans="2:10" ht="12">
      <c r="B30" s="1" t="s">
        <v>22</v>
      </c>
      <c r="C30" s="3">
        <v>152124</v>
      </c>
      <c r="D30" s="3">
        <v>217332</v>
      </c>
      <c r="E30" s="41"/>
      <c r="F30" s="41"/>
      <c r="G30" s="41"/>
      <c r="H30" s="41"/>
      <c r="I30" s="41"/>
    </row>
    <row r="31" spans="2:10" ht="12">
      <c r="B31" s="13" t="s">
        <v>15</v>
      </c>
      <c r="C31" s="14">
        <f>SUM(C28:C30)</f>
        <v>668903</v>
      </c>
      <c r="D31" s="14">
        <f>SUM(D28:D30)</f>
        <v>630148</v>
      </c>
      <c r="E31" s="42">
        <f>CIE!E10</f>
        <v>601754.1011252515</v>
      </c>
      <c r="F31" s="42">
        <f>CIE!F10</f>
        <v>570963.81432018813</v>
      </c>
      <c r="G31" s="42">
        <f>CIE!G10</f>
        <v>537574.88926554681</v>
      </c>
      <c r="H31" s="42">
        <f>CIE!H10</f>
        <v>501368.00612208969</v>
      </c>
      <c r="I31" s="42">
        <f>CIE!I10</f>
        <v>462105.33489746577</v>
      </c>
      <c r="J31" s="20" t="s">
        <v>82</v>
      </c>
    </row>
    <row r="32" spans="2:10" ht="12">
      <c r="B32" s="6" t="s">
        <v>23</v>
      </c>
      <c r="E32" s="41"/>
      <c r="F32" s="41"/>
      <c r="G32" s="41"/>
      <c r="H32" s="41"/>
      <c r="I32" s="41"/>
    </row>
    <row r="33" spans="2:10" ht="12">
      <c r="B33" s="1" t="s">
        <v>136</v>
      </c>
      <c r="C33" s="3">
        <v>326100</v>
      </c>
      <c r="D33" s="3">
        <v>358289</v>
      </c>
      <c r="E33" s="41">
        <v>358289</v>
      </c>
      <c r="F33" s="41">
        <v>358289</v>
      </c>
      <c r="G33" s="41">
        <v>358289</v>
      </c>
      <c r="H33" s="41">
        <v>358289</v>
      </c>
      <c r="I33" s="41">
        <v>358289</v>
      </c>
      <c r="J33" s="19" t="s">
        <v>74</v>
      </c>
    </row>
    <row r="34" spans="2:10" ht="12">
      <c r="B34" s="1" t="s">
        <v>137</v>
      </c>
      <c r="C34" s="3" t="s">
        <v>39</v>
      </c>
      <c r="D34" s="3" t="s">
        <v>39</v>
      </c>
      <c r="E34" s="41" t="str">
        <f>$D$34</f>
        <v>-</v>
      </c>
      <c r="F34" s="41" t="str">
        <f>$D$34</f>
        <v>-</v>
      </c>
      <c r="G34" s="41" t="str">
        <f>$D$34</f>
        <v>-</v>
      </c>
      <c r="H34" s="41" t="str">
        <f>$D$34</f>
        <v>-</v>
      </c>
      <c r="I34" s="41" t="str">
        <f>$D$34</f>
        <v>-</v>
      </c>
      <c r="J34" s="19"/>
    </row>
    <row r="35" spans="2:10" ht="12">
      <c r="B35" s="13" t="s">
        <v>15</v>
      </c>
      <c r="C35" s="14">
        <f t="shared" ref="C35:I35" si="3">SUM(C33:C34)</f>
        <v>326100</v>
      </c>
      <c r="D35" s="14">
        <f t="shared" si="3"/>
        <v>358289</v>
      </c>
      <c r="E35" s="42">
        <f t="shared" si="3"/>
        <v>358289</v>
      </c>
      <c r="F35" s="42">
        <f t="shared" si="3"/>
        <v>358289</v>
      </c>
      <c r="G35" s="42">
        <f t="shared" si="3"/>
        <v>358289</v>
      </c>
      <c r="H35" s="42">
        <f t="shared" si="3"/>
        <v>358289</v>
      </c>
      <c r="I35" s="42">
        <f t="shared" si="3"/>
        <v>358289</v>
      </c>
    </row>
    <row r="36" spans="2:10" ht="12">
      <c r="B36" s="6" t="s">
        <v>24</v>
      </c>
      <c r="E36" s="41"/>
      <c r="F36" s="41"/>
      <c r="G36" s="41"/>
      <c r="H36" s="41"/>
      <c r="I36" s="41"/>
    </row>
    <row r="37" spans="2:10" ht="12">
      <c r="B37" s="1" t="s">
        <v>138</v>
      </c>
      <c r="C37" s="3">
        <v>48994</v>
      </c>
      <c r="D37" s="3">
        <v>0</v>
      </c>
      <c r="E37" s="41" t="s">
        <v>39</v>
      </c>
      <c r="F37" s="41" t="s">
        <v>39</v>
      </c>
      <c r="G37" s="41" t="s">
        <v>39</v>
      </c>
      <c r="H37" s="41" t="s">
        <v>39</v>
      </c>
      <c r="I37" s="41" t="s">
        <v>39</v>
      </c>
    </row>
    <row r="38" spans="2:10" ht="12">
      <c r="B38" s="1" t="s">
        <v>25</v>
      </c>
      <c r="C38" s="3">
        <v>427861</v>
      </c>
      <c r="D38" s="3">
        <v>771940</v>
      </c>
      <c r="E38" s="41">
        <f>WC!E7</f>
        <v>668174.6323726807</v>
      </c>
      <c r="F38" s="41">
        <f>WC!F7</f>
        <v>724567.2268319201</v>
      </c>
      <c r="G38" s="41">
        <f>WC!G7</f>
        <v>785719.24278932612</v>
      </c>
      <c r="H38" s="41">
        <f>WC!H7</f>
        <v>852032.36584235076</v>
      </c>
      <c r="I38" s="41">
        <f>WC!I7</f>
        <v>923942.18304459169</v>
      </c>
      <c r="J38" s="48" t="s">
        <v>75</v>
      </c>
    </row>
    <row r="39" spans="2:10" ht="12">
      <c r="B39" s="1" t="s">
        <v>139</v>
      </c>
      <c r="C39" s="3">
        <v>199424</v>
      </c>
      <c r="D39" s="3">
        <v>208214</v>
      </c>
      <c r="E39" s="41">
        <f>$D$39</f>
        <v>208214</v>
      </c>
      <c r="F39" s="41">
        <f>$D$39</f>
        <v>208214</v>
      </c>
      <c r="G39" s="41">
        <f>$D$39</f>
        <v>208214</v>
      </c>
      <c r="H39" s="41">
        <f>$D$39</f>
        <v>208214</v>
      </c>
      <c r="I39" s="41">
        <f>$D$39</f>
        <v>208214</v>
      </c>
      <c r="J39" s="19" t="s">
        <v>74</v>
      </c>
    </row>
    <row r="40" spans="2:10" ht="12">
      <c r="B40" s="1" t="s">
        <v>26</v>
      </c>
      <c r="C40" s="3">
        <v>1627</v>
      </c>
      <c r="D40" s="3">
        <v>2715</v>
      </c>
      <c r="E40" s="41">
        <v>2715</v>
      </c>
      <c r="F40" s="41">
        <v>2715</v>
      </c>
      <c r="G40" s="41">
        <v>2715</v>
      </c>
      <c r="H40" s="41">
        <v>2715</v>
      </c>
      <c r="I40" s="41">
        <v>2715</v>
      </c>
      <c r="J40" s="19" t="s">
        <v>74</v>
      </c>
    </row>
    <row r="41" spans="2:10" ht="12">
      <c r="B41" s="13" t="s">
        <v>15</v>
      </c>
      <c r="C41" s="14">
        <f>SUM(C37:C40)</f>
        <v>677906</v>
      </c>
      <c r="D41" s="14">
        <f t="shared" ref="D41:I41" si="4">SUM(D37:D40)</f>
        <v>982869</v>
      </c>
      <c r="E41" s="42">
        <f t="shared" si="4"/>
        <v>879103.6323726807</v>
      </c>
      <c r="F41" s="42">
        <f t="shared" si="4"/>
        <v>935496.2268319201</v>
      </c>
      <c r="G41" s="42">
        <f t="shared" si="4"/>
        <v>996648.24278932612</v>
      </c>
      <c r="H41" s="42">
        <f t="shared" si="4"/>
        <v>1062961.3658423508</v>
      </c>
      <c r="I41" s="42">
        <f t="shared" si="4"/>
        <v>1134871.1830445917</v>
      </c>
    </row>
    <row r="42" spans="2:10" s="6" customFormat="1" ht="12">
      <c r="B42" s="6" t="s">
        <v>83</v>
      </c>
      <c r="C42" s="9">
        <f t="shared" ref="C42:I42" si="5">SUM(C35,C41)</f>
        <v>1004006</v>
      </c>
      <c r="D42" s="9">
        <f t="shared" si="5"/>
        <v>1341158</v>
      </c>
      <c r="E42" s="44">
        <f>SUM(E35,E41)</f>
        <v>1237392.6323726806</v>
      </c>
      <c r="F42" s="44">
        <f t="shared" si="5"/>
        <v>1293785.22683192</v>
      </c>
      <c r="G42" s="44">
        <f t="shared" si="5"/>
        <v>1354937.2427893262</v>
      </c>
      <c r="H42" s="44">
        <f t="shared" si="5"/>
        <v>1421250.3658423508</v>
      </c>
      <c r="I42" s="44">
        <f t="shared" si="5"/>
        <v>1493160.1830445917</v>
      </c>
      <c r="J42" s="50"/>
    </row>
    <row r="43" spans="2:10" ht="12.75" thickBot="1">
      <c r="B43" s="7" t="s">
        <v>27</v>
      </c>
      <c r="C43" s="8">
        <f t="shared" ref="C43:I43" si="6">SUM(C31,C35,C41:C41)</f>
        <v>1672909</v>
      </c>
      <c r="D43" s="8">
        <f t="shared" si="6"/>
        <v>1971306</v>
      </c>
      <c r="E43" s="43">
        <f t="shared" si="6"/>
        <v>1839146.7334979321</v>
      </c>
      <c r="F43" s="43">
        <f t="shared" si="6"/>
        <v>1864749.0411521082</v>
      </c>
      <c r="G43" s="43">
        <f t="shared" si="6"/>
        <v>1892512.1320548728</v>
      </c>
      <c r="H43" s="43">
        <f t="shared" si="6"/>
        <v>1922618.3719644404</v>
      </c>
      <c r="I43" s="43">
        <f t="shared" si="6"/>
        <v>1955265.5179420575</v>
      </c>
    </row>
    <row r="45" spans="2:10" s="16" customFormat="1" ht="12">
      <c r="B45" s="29" t="s">
        <v>51</v>
      </c>
      <c r="C45" s="30">
        <f t="shared" ref="C45:I45" si="7">C24-C43</f>
        <v>0</v>
      </c>
      <c r="D45" s="30">
        <f t="shared" si="7"/>
        <v>0</v>
      </c>
      <c r="E45" s="30">
        <f t="shared" si="7"/>
        <v>0</v>
      </c>
      <c r="F45" s="30">
        <f t="shared" si="7"/>
        <v>0</v>
      </c>
      <c r="G45" s="30">
        <f t="shared" si="7"/>
        <v>0</v>
      </c>
      <c r="H45" s="30">
        <f t="shared" si="7"/>
        <v>0</v>
      </c>
      <c r="I45" s="30">
        <f t="shared" si="7"/>
        <v>0</v>
      </c>
    </row>
    <row r="47" spans="2:10">
      <c r="C47" s="12"/>
      <c r="D47" s="1"/>
      <c r="E47" s="1"/>
    </row>
    <row r="48" spans="2:10">
      <c r="C48" s="12"/>
      <c r="D48" s="1"/>
      <c r="E48" s="1"/>
    </row>
    <row r="49" spans="3:4">
      <c r="C49" s="12"/>
      <c r="D49" s="1"/>
    </row>
  </sheetData>
  <mergeCells count="1">
    <mergeCell ref="C6:I6"/>
  </mergeCells>
  <hyperlinks>
    <hyperlink ref="J13" location="WC!A1" display="Working capital sheet" xr:uid="{A7ADDE20-63A9-42B8-9FEF-BE90F9816E81}"/>
    <hyperlink ref="J14" location="WC!A1" display="Working capital sheet" xr:uid="{F217E37F-134B-48E1-B74F-0F937C19BAD3}"/>
    <hyperlink ref="J9" location="OA!A1" display="Grows as a % of revenues" xr:uid="{8B7842B0-4DEB-47B1-8960-C444C32F2534}"/>
    <hyperlink ref="J38" location="WC!A1" display="Working capital sheet" xr:uid="{298D6DAA-849C-40E9-B269-D129520E844E}"/>
    <hyperlink ref="J31" location="Equity!A1" display="Equity" xr:uid="{A47411F9-89D5-4E0B-B31A-6DE9D90D3CCE}"/>
    <hyperlink ref="J20" location="'DCF Valuation'!A1" display="'DCF Valuation'!A1" xr:uid="{4F15DBAD-5FA4-4E26-ABC6-A90ACE924D1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488F-F92E-4E8A-89B6-9C8E851BF992}">
  <dimension ref="B1:L39"/>
  <sheetViews>
    <sheetView zoomScaleNormal="100" workbookViewId="0">
      <selection activeCell="F43" sqref="F43"/>
    </sheetView>
  </sheetViews>
  <sheetFormatPr defaultRowHeight="12"/>
  <cols>
    <col min="1" max="1" width="2" style="1" customWidth="1"/>
    <col min="2" max="2" width="45.85546875" style="1" customWidth="1"/>
    <col min="3" max="5" width="9.140625" style="1" customWidth="1"/>
    <col min="6" max="6" width="13.5703125" style="3" bestFit="1" customWidth="1"/>
    <col min="7" max="7" width="9.140625" style="3" customWidth="1"/>
    <col min="8" max="12" width="15.7109375" style="1" customWidth="1"/>
    <col min="13" max="13" width="9.7109375" style="1" customWidth="1"/>
    <col min="14" max="16384" width="9.140625" style="1"/>
  </cols>
  <sheetData>
    <row r="1" spans="2:12" s="90" customFormat="1" ht="15.75">
      <c r="B1" s="2" t="s">
        <v>130</v>
      </c>
      <c r="F1" s="91"/>
      <c r="G1" s="91"/>
    </row>
    <row r="2" spans="2:12">
      <c r="C2" s="4"/>
      <c r="D2" s="4"/>
      <c r="E2" s="4"/>
      <c r="H2" s="16"/>
      <c r="I2" s="16"/>
    </row>
    <row r="3" spans="2:12" ht="12.75" thickBot="1">
      <c r="B3" s="6" t="s">
        <v>99</v>
      </c>
      <c r="C3" s="127">
        <f>AVERAGE(WACC!H24:L24)</f>
        <v>0.15429629351303883</v>
      </c>
      <c r="D3" s="4"/>
      <c r="E3" s="4"/>
      <c r="H3" s="16"/>
      <c r="I3" s="16"/>
    </row>
    <row r="4" spans="2:12" ht="13.5" thickTop="1" thickBot="1">
      <c r="B4" s="119" t="s">
        <v>132</v>
      </c>
      <c r="C4" s="120">
        <f>Drivers!C11</f>
        <v>0.06</v>
      </c>
      <c r="D4" s="4"/>
      <c r="E4" s="4"/>
      <c r="H4" s="16"/>
      <c r="I4" s="16"/>
    </row>
    <row r="5" spans="2:12" ht="12.75" thickTop="1">
      <c r="C5" s="4"/>
      <c r="D5" s="4"/>
      <c r="E5" s="4"/>
      <c r="H5" s="16"/>
      <c r="I5" s="16"/>
    </row>
    <row r="6" spans="2:12">
      <c r="B6" s="10"/>
      <c r="C6" s="26" t="s">
        <v>41</v>
      </c>
      <c r="D6" s="26" t="s">
        <v>42</v>
      </c>
      <c r="E6" s="26" t="s">
        <v>43</v>
      </c>
      <c r="F6" s="27" t="s">
        <v>44</v>
      </c>
      <c r="G6" s="27" t="s">
        <v>45</v>
      </c>
      <c r="H6" s="26" t="s">
        <v>46</v>
      </c>
      <c r="I6" s="26" t="s">
        <v>47</v>
      </c>
      <c r="J6" s="26" t="s">
        <v>48</v>
      </c>
      <c r="K6" s="26" t="s">
        <v>49</v>
      </c>
      <c r="L6" s="26" t="s">
        <v>50</v>
      </c>
    </row>
    <row r="7" spans="2:12" ht="12.75" thickBot="1">
      <c r="B7" s="38"/>
      <c r="C7" s="140" t="s">
        <v>2</v>
      </c>
      <c r="D7" s="140"/>
      <c r="E7" s="140"/>
      <c r="F7" s="140"/>
      <c r="G7" s="140"/>
      <c r="H7" s="140"/>
      <c r="I7" s="140"/>
      <c r="J7" s="140"/>
      <c r="K7" s="140"/>
      <c r="L7" s="140"/>
    </row>
    <row r="8" spans="2:12">
      <c r="B8" s="1" t="s">
        <v>12</v>
      </c>
    </row>
    <row r="9" spans="2:12">
      <c r="B9" s="1" t="s">
        <v>77</v>
      </c>
      <c r="C9" s="3"/>
      <c r="D9" s="3"/>
      <c r="E9" s="3"/>
      <c r="H9" s="41">
        <f>'Income Statement'!E14</f>
        <v>760652.50206767011</v>
      </c>
      <c r="I9" s="41">
        <f>'Income Statement'!F14</f>
        <v>824850.04264353344</v>
      </c>
      <c r="J9" s="41">
        <f>'Income Statement'!G14</f>
        <v>894465.7264645542</v>
      </c>
      <c r="K9" s="41">
        <f>'Income Statement'!H14</f>
        <v>969956.83391813759</v>
      </c>
      <c r="L9" s="41">
        <f>'Income Statement'!I14</f>
        <v>1051819.2389362382</v>
      </c>
    </row>
    <row r="10" spans="2:12">
      <c r="B10" s="1" t="s">
        <v>71</v>
      </c>
      <c r="H10" s="39">
        <f>-('Financial Position'!E14-'Financial Position'!D14)</f>
        <v>-68081.500880527252</v>
      </c>
      <c r="I10" s="39">
        <f>-('Financial Position'!F14-'Financial Position'!E14)</f>
        <v>-26836.492438293644</v>
      </c>
      <c r="J10" s="39">
        <f>-('Financial Position'!G14-'Financial Position'!F14)</f>
        <v>-29101.438399212726</v>
      </c>
      <c r="K10" s="39">
        <f>-('Financial Position'!H14-'Financial Position'!G14)</f>
        <v>-31557.541241668514</v>
      </c>
      <c r="L10" s="39">
        <f>-('Financial Position'!I14-'Financial Position'!H14)</f>
        <v>-34220.934221813048</v>
      </c>
    </row>
    <row r="11" spans="2:12">
      <c r="B11" s="1" t="s">
        <v>72</v>
      </c>
      <c r="H11" s="39">
        <f>-('Financial Position'!E13-'Financial Position'!D13)</f>
        <v>-5900.876734233665</v>
      </c>
      <c r="I11" s="39">
        <f>-('Financial Position'!F13-'Financial Position'!E13)</f>
        <v>-21863.20393355962</v>
      </c>
      <c r="J11" s="39">
        <f>-('Financial Position'!G13-'Financial Position'!F13)</f>
        <v>-23708.414352019725</v>
      </c>
      <c r="K11" s="39">
        <f>-('Financial Position'!H13-'Financial Position'!G13)</f>
        <v>-25709.356816832325</v>
      </c>
      <c r="L11" s="39">
        <f>-('Financial Position'!I13-'Financial Position'!H13)</f>
        <v>-27879.174799342756</v>
      </c>
    </row>
    <row r="12" spans="2:12">
      <c r="B12" s="1" t="s">
        <v>65</v>
      </c>
      <c r="H12" s="39">
        <f>'Financial Position'!E38-'Financial Position'!D38</f>
        <v>-103765.3676273193</v>
      </c>
      <c r="I12" s="39">
        <f>'Financial Position'!F38-'Financial Position'!E38</f>
        <v>56392.594459239393</v>
      </c>
      <c r="J12" s="39">
        <f>'Financial Position'!G38-'Financial Position'!F38</f>
        <v>61152.015957406024</v>
      </c>
      <c r="K12" s="39">
        <f>'Financial Position'!H38-'Financial Position'!G38</f>
        <v>66313.123053024639</v>
      </c>
      <c r="L12" s="39">
        <f>'Financial Position'!I38-'Financial Position'!H38</f>
        <v>71909.817202240927</v>
      </c>
    </row>
    <row r="13" spans="2:12" s="56" customFormat="1">
      <c r="B13" s="52" t="s">
        <v>78</v>
      </c>
      <c r="C13" s="53"/>
      <c r="D13" s="54"/>
      <c r="E13" s="54"/>
      <c r="F13" s="54"/>
      <c r="G13" s="55"/>
      <c r="H13" s="115">
        <f>SUM(H10:H12)</f>
        <v>-177747.74524208021</v>
      </c>
      <c r="I13" s="115">
        <f>SUM(I10:I12)</f>
        <v>7692.8980873861292</v>
      </c>
      <c r="J13" s="115">
        <f>SUM(J10:J12)</f>
        <v>8342.1632061735727</v>
      </c>
      <c r="K13" s="115">
        <f>SUM(K10:K12)</f>
        <v>9046.2249945238</v>
      </c>
      <c r="L13" s="115">
        <f>SUM(L10:L12)</f>
        <v>9809.7081810851232</v>
      </c>
    </row>
    <row r="14" spans="2:12" s="56" customFormat="1">
      <c r="B14" s="57" t="s">
        <v>79</v>
      </c>
      <c r="C14" s="58"/>
      <c r="D14" s="59"/>
      <c r="E14" s="59"/>
      <c r="F14" s="59"/>
      <c r="G14" s="60"/>
      <c r="H14" s="116">
        <f>-PPE!E7</f>
        <v>0</v>
      </c>
      <c r="I14" s="116">
        <f>-PPE!F7</f>
        <v>0</v>
      </c>
      <c r="J14" s="116">
        <f>-PPE!G7</f>
        <v>0</v>
      </c>
      <c r="K14" s="116">
        <f>-PPE!H7</f>
        <v>0</v>
      </c>
      <c r="L14" s="116">
        <f>-PPE!I7</f>
        <v>0</v>
      </c>
    </row>
    <row r="15" spans="2:12" s="56" customFormat="1" ht="12.75" thickBot="1">
      <c r="B15" s="61" t="s">
        <v>80</v>
      </c>
      <c r="C15" s="62"/>
      <c r="D15" s="63"/>
      <c r="E15" s="63"/>
      <c r="F15" s="64"/>
      <c r="G15" s="65"/>
      <c r="H15" s="117">
        <f>SUM(H9,H13:H14)</f>
        <v>582904.75682558992</v>
      </c>
      <c r="I15" s="117">
        <f>SUM(I9,I13:I14)</f>
        <v>832542.9407309196</v>
      </c>
      <c r="J15" s="117">
        <f>SUM(J9,J13:J14)</f>
        <v>902807.88967072777</v>
      </c>
      <c r="K15" s="117">
        <f>SUM(K9,K13:K14)</f>
        <v>979003.05891266139</v>
      </c>
      <c r="L15" s="117">
        <f>SUM(L9,L13:L14)</f>
        <v>1061628.9471173233</v>
      </c>
    </row>
    <row r="17" spans="2:12">
      <c r="B17" s="131" t="s">
        <v>85</v>
      </c>
      <c r="C17" s="132"/>
      <c r="D17" s="133"/>
      <c r="E17" s="133"/>
      <c r="F17" s="133"/>
      <c r="G17" s="134"/>
      <c r="H17" s="134">
        <f>'Income Statement'!E16</f>
        <v>-789046.40094241861</v>
      </c>
      <c r="I17" s="134">
        <f>'Income Statement'!F16</f>
        <v>-855640.32944859681</v>
      </c>
      <c r="J17" s="134">
        <f>'Income Statement'!G16</f>
        <v>-927854.65151919553</v>
      </c>
      <c r="K17" s="134">
        <f>'Income Statement'!H16</f>
        <v>-1006163.7170615947</v>
      </c>
      <c r="L17" s="134">
        <f>'Income Statement'!I16</f>
        <v>-1091081.9101608621</v>
      </c>
    </row>
    <row r="18" spans="2:12">
      <c r="B18" s="131" t="s">
        <v>86</v>
      </c>
      <c r="C18" s="132"/>
      <c r="D18" s="133"/>
      <c r="E18" s="133"/>
      <c r="F18" s="133"/>
      <c r="G18" s="134"/>
      <c r="H18" s="134">
        <v>0</v>
      </c>
      <c r="I18" s="134">
        <v>0</v>
      </c>
      <c r="J18" s="134">
        <v>0</v>
      </c>
      <c r="K18" s="134">
        <v>0</v>
      </c>
      <c r="L18" s="134">
        <v>0</v>
      </c>
    </row>
    <row r="19" spans="2:12">
      <c r="B19" s="131" t="s">
        <v>87</v>
      </c>
      <c r="C19" s="132"/>
      <c r="D19" s="133"/>
      <c r="E19" s="133"/>
      <c r="F19" s="133"/>
      <c r="G19" s="134"/>
      <c r="H19" s="134">
        <v>0</v>
      </c>
      <c r="I19" s="134">
        <v>0</v>
      </c>
      <c r="J19" s="134">
        <v>0</v>
      </c>
      <c r="K19" s="134">
        <v>0</v>
      </c>
      <c r="L19" s="134">
        <v>0</v>
      </c>
    </row>
    <row r="20" spans="2:12" ht="12.75" thickBot="1">
      <c r="B20" s="135" t="s">
        <v>88</v>
      </c>
      <c r="C20" s="136"/>
      <c r="D20" s="137"/>
      <c r="E20" s="137"/>
      <c r="F20" s="137"/>
      <c r="G20" s="138"/>
      <c r="H20" s="138">
        <f>SUM(H15:H19)</f>
        <v>-206141.64411682868</v>
      </c>
      <c r="I20" s="138">
        <f>SUM(I15:I19)</f>
        <v>-23097.388717677211</v>
      </c>
      <c r="J20" s="138">
        <f>SUM(J15:J19)</f>
        <v>-25046.761848467751</v>
      </c>
      <c r="K20" s="138">
        <f>SUM(K15:K19)</f>
        <v>-27160.658148933318</v>
      </c>
      <c r="L20" s="138">
        <f>SUM(L15:L19)</f>
        <v>-29452.963043538854</v>
      </c>
    </row>
    <row r="21" spans="2:12" ht="1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2:12">
      <c r="B22" s="139" t="s">
        <v>89</v>
      </c>
      <c r="C22" s="139"/>
      <c r="D22" s="139"/>
      <c r="E22" s="139"/>
      <c r="F22" s="139"/>
      <c r="G22" s="139"/>
      <c r="H22" s="139">
        <f>'Financial Position'!D20</f>
        <v>22345</v>
      </c>
      <c r="I22" s="139">
        <f>'Financial Position'!E20</f>
        <v>-183796.64411682868</v>
      </c>
      <c r="J22" s="139">
        <f>'Financial Position'!F20</f>
        <v>-206894.0328345059</v>
      </c>
      <c r="K22" s="139">
        <f>'Financial Position'!G20</f>
        <v>-231940.79468297365</v>
      </c>
      <c r="L22" s="139">
        <f>'Financial Position'!H20</f>
        <v>-259101.45283190697</v>
      </c>
    </row>
    <row r="23" spans="2:12">
      <c r="B23" s="139" t="s">
        <v>88</v>
      </c>
      <c r="C23" s="139"/>
      <c r="D23" s="139"/>
      <c r="E23" s="139"/>
      <c r="F23" s="139"/>
      <c r="G23" s="139"/>
      <c r="H23" s="139">
        <f>H20</f>
        <v>-206141.64411682868</v>
      </c>
      <c r="I23" s="139">
        <f t="shared" ref="I23:L23" si="0">I20</f>
        <v>-23097.388717677211</v>
      </c>
      <c r="J23" s="139">
        <f t="shared" si="0"/>
        <v>-25046.761848467751</v>
      </c>
      <c r="K23" s="139">
        <f t="shared" si="0"/>
        <v>-27160.658148933318</v>
      </c>
      <c r="L23" s="139">
        <f t="shared" si="0"/>
        <v>-29452.963043538854</v>
      </c>
    </row>
    <row r="24" spans="2:12">
      <c r="B24" s="139" t="s">
        <v>90</v>
      </c>
      <c r="C24" s="139"/>
      <c r="D24" s="139"/>
      <c r="E24" s="139"/>
      <c r="F24" s="139"/>
      <c r="G24" s="139"/>
      <c r="H24" s="139">
        <f>SUM(H22:H23)</f>
        <v>-183796.64411682868</v>
      </c>
      <c r="I24" s="139">
        <f t="shared" ref="I24:K24" si="1">SUM(I22:I23)</f>
        <v>-206894.0328345059</v>
      </c>
      <c r="J24" s="139">
        <f t="shared" si="1"/>
        <v>-231940.79468297365</v>
      </c>
      <c r="K24" s="139">
        <f t="shared" si="1"/>
        <v>-259101.45283190697</v>
      </c>
      <c r="L24" s="139">
        <f>SUM(L22:L23)</f>
        <v>-288554.41587544582</v>
      </c>
    </row>
    <row r="25" spans="2:12">
      <c r="D25" s="84"/>
      <c r="E25" s="89"/>
      <c r="F25" s="89"/>
      <c r="G25" s="89"/>
      <c r="H25" s="89"/>
      <c r="I25" s="89"/>
      <c r="J25" s="89"/>
      <c r="K25" s="89"/>
      <c r="L25" s="89"/>
    </row>
    <row r="26" spans="2:12">
      <c r="D26" s="84"/>
      <c r="E26" s="89"/>
      <c r="F26" s="89"/>
      <c r="G26" s="89"/>
      <c r="H26" s="89"/>
      <c r="I26" s="89"/>
      <c r="J26" s="89"/>
      <c r="K26" s="89"/>
      <c r="L26" s="89"/>
    </row>
    <row r="27" spans="2:12">
      <c r="B27" s="85"/>
      <c r="C27" s="92"/>
      <c r="D27" s="84"/>
      <c r="E27" s="89"/>
      <c r="F27" s="89"/>
      <c r="G27" s="89"/>
      <c r="H27" s="121">
        <v>1</v>
      </c>
      <c r="I27" s="121">
        <v>2</v>
      </c>
      <c r="J27" s="121">
        <v>3</v>
      </c>
      <c r="K27" s="121">
        <v>4</v>
      </c>
      <c r="L27" s="121">
        <v>5</v>
      </c>
    </row>
    <row r="28" spans="2:12">
      <c r="B28" s="10"/>
      <c r="C28" s="26" t="s">
        <v>41</v>
      </c>
      <c r="D28" s="26" t="s">
        <v>42</v>
      </c>
      <c r="E28" s="26" t="s">
        <v>43</v>
      </c>
      <c r="F28" s="27" t="s">
        <v>44</v>
      </c>
      <c r="G28" s="27" t="s">
        <v>45</v>
      </c>
      <c r="H28" s="26" t="s">
        <v>46</v>
      </c>
      <c r="I28" s="26" t="s">
        <v>47</v>
      </c>
      <c r="J28" s="26" t="s">
        <v>48</v>
      </c>
      <c r="K28" s="26" t="s">
        <v>49</v>
      </c>
      <c r="L28" s="26" t="s">
        <v>50</v>
      </c>
    </row>
    <row r="29" spans="2:12" ht="12.75" thickBot="1">
      <c r="B29" s="38"/>
      <c r="C29" s="140" t="s">
        <v>2</v>
      </c>
      <c r="D29" s="140"/>
      <c r="E29" s="140"/>
      <c r="F29" s="140"/>
      <c r="G29" s="140"/>
      <c r="H29" s="140"/>
      <c r="I29" s="140"/>
      <c r="J29" s="140"/>
      <c r="K29" s="140"/>
      <c r="L29" s="140"/>
    </row>
    <row r="30" spans="2:12">
      <c r="B30" s="84" t="s">
        <v>80</v>
      </c>
      <c r="C30" s="87"/>
      <c r="D30" s="87"/>
      <c r="E30" s="87"/>
      <c r="F30" s="87"/>
      <c r="G30" s="87"/>
      <c r="H30" s="87">
        <f>'DCF Valuation'!H15</f>
        <v>582904.75682558992</v>
      </c>
      <c r="I30" s="87">
        <f>'DCF Valuation'!I15</f>
        <v>832542.9407309196</v>
      </c>
      <c r="J30" s="87">
        <f>'DCF Valuation'!J15</f>
        <v>902807.88967072777</v>
      </c>
      <c r="K30" s="87">
        <f>'DCF Valuation'!K15</f>
        <v>979003.05891266139</v>
      </c>
      <c r="L30" s="87">
        <f>'DCF Valuation'!L15</f>
        <v>1061628.9471173233</v>
      </c>
    </row>
    <row r="31" spans="2:12">
      <c r="B31" s="84" t="s">
        <v>133</v>
      </c>
      <c r="C31" s="87"/>
      <c r="D31" s="87"/>
      <c r="E31" s="87"/>
      <c r="F31" s="87"/>
      <c r="G31" s="87"/>
      <c r="H31" s="122">
        <f>1/(1+$C$3)^H27</f>
        <v>0.86632869361171883</v>
      </c>
      <c r="I31" s="122">
        <f t="shared" ref="I31:K31" si="2">1/(1+$C$3)^I27</f>
        <v>0.75052540537498735</v>
      </c>
      <c r="J31" s="122">
        <f t="shared" si="2"/>
        <v>0.65020169396091854</v>
      </c>
      <c r="K31" s="122">
        <f t="shared" si="2"/>
        <v>0.56328838411328919</v>
      </c>
      <c r="L31" s="122">
        <f>1/(1+$C$3)^L27</f>
        <v>0.48799288993552187</v>
      </c>
    </row>
    <row r="32" spans="2:12" s="6" customFormat="1">
      <c r="B32" s="123" t="s">
        <v>108</v>
      </c>
      <c r="C32" s="124"/>
      <c r="D32" s="124"/>
      <c r="E32" s="124"/>
      <c r="F32" s="124"/>
      <c r="G32" s="124"/>
      <c r="H32" s="124">
        <f>H30*H31</f>
        <v>504987.11648076994</v>
      </c>
      <c r="I32" s="124">
        <f t="shared" ref="I32:L32" si="3">I30*I31</f>
        <v>624844.62808415748</v>
      </c>
      <c r="J32" s="124">
        <f t="shared" si="3"/>
        <v>587007.21918518923</v>
      </c>
      <c r="K32" s="124">
        <f t="shared" si="3"/>
        <v>551461.05109688034</v>
      </c>
      <c r="L32" s="124">
        <f t="shared" si="3"/>
        <v>518067.37794298789</v>
      </c>
    </row>
    <row r="33" spans="2:12">
      <c r="B33" s="84" t="s">
        <v>107</v>
      </c>
      <c r="C33" s="87"/>
      <c r="D33" s="87"/>
      <c r="E33" s="87"/>
      <c r="F33" s="87"/>
      <c r="G33" s="87"/>
      <c r="H33" s="87"/>
      <c r="I33" s="87"/>
      <c r="J33" s="87"/>
      <c r="K33" s="87"/>
      <c r="L33" s="87">
        <f>(L30*(1+C4))/(C3-C4)</f>
        <v>11933943.976162307</v>
      </c>
    </row>
    <row r="34" spans="2:12" s="6" customFormat="1">
      <c r="B34" s="125" t="s">
        <v>109</v>
      </c>
      <c r="C34" s="126"/>
      <c r="D34" s="126"/>
      <c r="E34" s="126"/>
      <c r="F34" s="126"/>
      <c r="G34" s="126"/>
      <c r="H34" s="126"/>
      <c r="I34" s="126"/>
      <c r="J34" s="126"/>
      <c r="K34" s="126"/>
      <c r="L34" s="125">
        <f>L33/(1+C3)^L27</f>
        <v>5823679.8092560573</v>
      </c>
    </row>
    <row r="35" spans="2:12">
      <c r="G35" s="1"/>
    </row>
    <row r="36" spans="2:12">
      <c r="B36" s="141" t="s">
        <v>110</v>
      </c>
      <c r="C36" s="141"/>
      <c r="D36" s="141"/>
      <c r="E36" s="141"/>
      <c r="F36" s="141"/>
      <c r="G36" s="89"/>
    </row>
    <row r="37" spans="2:12">
      <c r="B37" s="84" t="s">
        <v>111</v>
      </c>
      <c r="C37" s="89"/>
      <c r="D37" s="89"/>
      <c r="E37" s="87"/>
      <c r="F37" s="87">
        <f>SUM(H32:L32)</f>
        <v>2786367.3927899846</v>
      </c>
      <c r="G37" s="89"/>
    </row>
    <row r="38" spans="2:12">
      <c r="B38" s="84" t="s">
        <v>112</v>
      </c>
      <c r="C38" s="89"/>
      <c r="D38" s="89"/>
      <c r="E38" s="87"/>
      <c r="F38" s="87">
        <f>L34</f>
        <v>5823679.8092560573</v>
      </c>
      <c r="G38" s="89"/>
    </row>
    <row r="39" spans="2:12">
      <c r="B39" s="86" t="s">
        <v>113</v>
      </c>
      <c r="C39" s="86"/>
      <c r="D39" s="86"/>
      <c r="E39" s="88"/>
      <c r="F39" s="88">
        <f>SUM(F37:F38)</f>
        <v>8610047.2020460423</v>
      </c>
      <c r="G39" s="89"/>
    </row>
  </sheetData>
  <mergeCells count="3">
    <mergeCell ref="C7:L7"/>
    <mergeCell ref="C29:L29"/>
    <mergeCell ref="B36:F3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11A6-4E24-4CEF-9F87-E2CF42044D53}">
  <sheetPr>
    <tabColor rgb="FF002060"/>
  </sheetPr>
  <dimension ref="B14"/>
  <sheetViews>
    <sheetView topLeftCell="A4" workbookViewId="0">
      <selection activeCell="K14" sqref="K14"/>
    </sheetView>
  </sheetViews>
  <sheetFormatPr defaultColWidth="9.140625" defaultRowHeight="15"/>
  <cols>
    <col min="1" max="1" width="2" style="25" customWidth="1"/>
    <col min="2" max="16384" width="9.140625" style="25"/>
  </cols>
  <sheetData>
    <row r="14" spans="2:2" ht="50.25">
      <c r="B14" s="24" t="s">
        <v>115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30A3-B9CB-49CB-9B23-A578F06896DD}">
  <dimension ref="B1:I11"/>
  <sheetViews>
    <sheetView zoomScaleNormal="100" workbookViewId="0">
      <selection activeCell="J11" sqref="J11"/>
    </sheetView>
  </sheetViews>
  <sheetFormatPr defaultRowHeight="12"/>
  <cols>
    <col min="1" max="1" width="2" style="1" customWidth="1"/>
    <col min="2" max="2" width="29" style="1" bestFit="1" customWidth="1"/>
    <col min="3" max="9" width="11.7109375" style="1" customWidth="1"/>
    <col min="10" max="16384" width="9.140625" style="1"/>
  </cols>
  <sheetData>
    <row r="1" spans="2:9" ht="15.75">
      <c r="B1" s="2" t="s">
        <v>59</v>
      </c>
    </row>
    <row r="2" spans="2:9">
      <c r="B2" s="5"/>
    </row>
    <row r="3" spans="2:9">
      <c r="B3" s="5"/>
    </row>
    <row r="4" spans="2:9">
      <c r="B4" s="10"/>
      <c r="C4" s="27" t="s">
        <v>44</v>
      </c>
      <c r="D4" s="27" t="s">
        <v>45</v>
      </c>
      <c r="E4" s="26" t="s">
        <v>46</v>
      </c>
      <c r="F4" s="26" t="s">
        <v>47</v>
      </c>
      <c r="G4" s="26" t="s">
        <v>48</v>
      </c>
      <c r="H4" s="26" t="s">
        <v>49</v>
      </c>
      <c r="I4" s="26" t="s">
        <v>50</v>
      </c>
    </row>
    <row r="5" spans="2:9" ht="15.75" customHeight="1" thickBot="1">
      <c r="B5" s="15"/>
      <c r="C5" s="140"/>
      <c r="D5" s="140"/>
      <c r="E5" s="140"/>
      <c r="F5" s="140"/>
      <c r="G5" s="140"/>
      <c r="H5" s="140"/>
      <c r="I5" s="140"/>
    </row>
    <row r="6" spans="2:9" s="16" customFormat="1">
      <c r="B6" s="34" t="s">
        <v>61</v>
      </c>
      <c r="D6" s="16">
        <f t="shared" ref="D6" si="0">C8</f>
        <v>1055519</v>
      </c>
      <c r="E6" s="16">
        <f t="shared" ref="E6" si="1">D8</f>
        <v>1299927</v>
      </c>
      <c r="F6" s="16">
        <f t="shared" ref="F6" si="2">E8</f>
        <v>1299927</v>
      </c>
      <c r="G6" s="16">
        <f t="shared" ref="G6" si="3">F8</f>
        <v>1299927</v>
      </c>
      <c r="H6" s="16">
        <f t="shared" ref="H6" si="4">G8</f>
        <v>1299927</v>
      </c>
      <c r="I6" s="16">
        <f t="shared" ref="I6" si="5">H8</f>
        <v>1299927</v>
      </c>
    </row>
    <row r="7" spans="2:9">
      <c r="B7" s="34" t="s">
        <v>62</v>
      </c>
      <c r="C7" s="16"/>
      <c r="D7" s="16">
        <f>D8-D6</f>
        <v>244408</v>
      </c>
      <c r="E7" s="16">
        <f>E6*E11</f>
        <v>0</v>
      </c>
      <c r="F7" s="16">
        <f t="shared" ref="F7:I7" si="6">F6*F11</f>
        <v>0</v>
      </c>
      <c r="G7" s="16">
        <f t="shared" si="6"/>
        <v>0</v>
      </c>
      <c r="H7" s="16">
        <f t="shared" si="6"/>
        <v>0</v>
      </c>
      <c r="I7" s="16">
        <f t="shared" si="6"/>
        <v>0</v>
      </c>
    </row>
    <row r="8" spans="2:9" s="33" customFormat="1" ht="12.75" thickBot="1">
      <c r="B8" s="35" t="s">
        <v>60</v>
      </c>
      <c r="C8" s="36">
        <f>'Financial Position'!C9</f>
        <v>1055519</v>
      </c>
      <c r="D8" s="36">
        <f>'Financial Position'!D9</f>
        <v>1299927</v>
      </c>
      <c r="E8" s="40">
        <f>SUM(E6:E7)</f>
        <v>1299927</v>
      </c>
      <c r="F8" s="40">
        <f>SUM(F6:F7)</f>
        <v>1299927</v>
      </c>
      <c r="G8" s="40">
        <f t="shared" ref="G8:I8" si="7">SUM(G6:G7)</f>
        <v>1299927</v>
      </c>
      <c r="H8" s="40">
        <f t="shared" si="7"/>
        <v>1299927</v>
      </c>
      <c r="I8" s="40">
        <f t="shared" si="7"/>
        <v>1299927</v>
      </c>
    </row>
    <row r="10" spans="2:9">
      <c r="C10" s="16"/>
      <c r="D10" s="16"/>
    </row>
    <row r="11" spans="2:9">
      <c r="B11" s="96" t="s">
        <v>63</v>
      </c>
      <c r="C11" s="98"/>
      <c r="D11" s="98">
        <f>D7/D6</f>
        <v>0.23155244007924064</v>
      </c>
      <c r="E11" s="97">
        <v>0</v>
      </c>
      <c r="F11" s="97">
        <v>0</v>
      </c>
      <c r="G11" s="97">
        <v>0</v>
      </c>
      <c r="H11" s="97">
        <v>0</v>
      </c>
      <c r="I11" s="97">
        <v>0</v>
      </c>
    </row>
  </sheetData>
  <mergeCells count="1">
    <mergeCell ref="C5:I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7386F-3DD1-4BFD-8024-471A2663E05A}">
  <dimension ref="B1:I14"/>
  <sheetViews>
    <sheetView workbookViewId="0">
      <selection activeCell="I20" sqref="I20"/>
    </sheetView>
  </sheetViews>
  <sheetFormatPr defaultColWidth="9.140625" defaultRowHeight="12"/>
  <cols>
    <col min="1" max="1" width="2" style="103" customWidth="1"/>
    <col min="2" max="2" width="21.42578125" style="103" bestFit="1" customWidth="1"/>
    <col min="3" max="9" width="12.7109375" style="103" customWidth="1"/>
    <col min="10" max="16384" width="9.140625" style="103"/>
  </cols>
  <sheetData>
    <row r="1" spans="2:9" ht="15.75">
      <c r="B1" s="99" t="s">
        <v>64</v>
      </c>
    </row>
    <row r="2" spans="2:9">
      <c r="B2" s="109"/>
    </row>
    <row r="3" spans="2:9">
      <c r="B3" s="109"/>
    </row>
    <row r="4" spans="2:9">
      <c r="B4" s="100"/>
      <c r="C4" s="102" t="s">
        <v>44</v>
      </c>
      <c r="D4" s="102" t="s">
        <v>45</v>
      </c>
      <c r="E4" s="101" t="s">
        <v>46</v>
      </c>
      <c r="F4" s="101" t="s">
        <v>47</v>
      </c>
      <c r="G4" s="101" t="s">
        <v>48</v>
      </c>
      <c r="H4" s="101" t="s">
        <v>49</v>
      </c>
      <c r="I4" s="101" t="s">
        <v>50</v>
      </c>
    </row>
    <row r="5" spans="2:9">
      <c r="B5" s="104" t="s">
        <v>71</v>
      </c>
      <c r="C5" s="105">
        <f>'Financial Position'!C14</f>
        <v>310367</v>
      </c>
      <c r="D5" s="105">
        <f>'Financial Position'!D14</f>
        <v>249894</v>
      </c>
      <c r="E5" s="106">
        <f>E11*('Income Statement'!E7)/365</f>
        <v>317975.50088052725</v>
      </c>
      <c r="F5" s="106">
        <f>F11*('Income Statement'!F7)/365</f>
        <v>344811.9933188209</v>
      </c>
      <c r="G5" s="106">
        <f>G11*('Income Statement'!G7)/365</f>
        <v>373913.43171803362</v>
      </c>
      <c r="H5" s="106">
        <f>H11*('Income Statement'!H7)/365</f>
        <v>405470.97295970214</v>
      </c>
      <c r="I5" s="106">
        <f>I11*('Income Statement'!I7)/365</f>
        <v>439691.90718151518</v>
      </c>
    </row>
    <row r="6" spans="2:9">
      <c r="B6" s="104" t="s">
        <v>72</v>
      </c>
      <c r="C6" s="105">
        <f>'Financial Position'!C13</f>
        <v>207396</v>
      </c>
      <c r="D6" s="105">
        <f>'Financial Position'!D13</f>
        <v>253148</v>
      </c>
      <c r="E6" s="106">
        <f>-E12*('Income Statement'!E$8)/365</f>
        <v>259048.87673423367</v>
      </c>
      <c r="F6" s="106">
        <f>-F12*('Income Statement'!F$8)/365</f>
        <v>280912.08066779329</v>
      </c>
      <c r="G6" s="106">
        <f>-G12*('Income Statement'!G$8)/365</f>
        <v>304620.49501981301</v>
      </c>
      <c r="H6" s="106">
        <f>-H12*('Income Statement'!H$8)/365</f>
        <v>330329.85183664534</v>
      </c>
      <c r="I6" s="106">
        <f>-I12*('Income Statement'!I$8)/365</f>
        <v>358209.02663598809</v>
      </c>
    </row>
    <row r="7" spans="2:9">
      <c r="B7" s="104" t="s">
        <v>65</v>
      </c>
      <c r="C7" s="105">
        <f>'Financial Position'!C38</f>
        <v>427861</v>
      </c>
      <c r="D7" s="105">
        <f>'Financial Position'!D38</f>
        <v>771940</v>
      </c>
      <c r="E7" s="106">
        <f>-E13*('Income Statement'!E$8)/365</f>
        <v>668174.6323726807</v>
      </c>
      <c r="F7" s="106">
        <f>-F13*('Income Statement'!F$8)/365</f>
        <v>724567.2268319201</v>
      </c>
      <c r="G7" s="106">
        <f>-G13*('Income Statement'!G$8)/365</f>
        <v>785719.24278932612</v>
      </c>
      <c r="H7" s="106">
        <f>-H13*('Income Statement'!H$8)/365</f>
        <v>852032.36584235076</v>
      </c>
      <c r="I7" s="106">
        <f>-I13*('Income Statement'!I$8)/365</f>
        <v>923942.18304459169</v>
      </c>
    </row>
    <row r="8" spans="2:9" ht="12.75" thickBot="1">
      <c r="B8" s="107" t="s">
        <v>66</v>
      </c>
      <c r="C8" s="108">
        <f t="shared" ref="C8:I8" si="0">C5+C6-C7</f>
        <v>89902</v>
      </c>
      <c r="D8" s="108">
        <f t="shared" si="0"/>
        <v>-268898</v>
      </c>
      <c r="E8" s="114">
        <f t="shared" si="0"/>
        <v>-91150.254757919814</v>
      </c>
      <c r="F8" s="114">
        <f t="shared" si="0"/>
        <v>-98843.152845305973</v>
      </c>
      <c r="G8" s="114">
        <f t="shared" si="0"/>
        <v>-107185.31605147955</v>
      </c>
      <c r="H8" s="114">
        <f t="shared" si="0"/>
        <v>-116231.54104600335</v>
      </c>
      <c r="I8" s="114">
        <f t="shared" si="0"/>
        <v>-126041.24922708841</v>
      </c>
    </row>
    <row r="9" spans="2:9">
      <c r="B9" s="104"/>
      <c r="C9" s="104"/>
      <c r="D9" s="104"/>
      <c r="E9" s="104"/>
      <c r="F9" s="104"/>
      <c r="G9" s="104"/>
      <c r="H9" s="104"/>
      <c r="I9" s="104"/>
    </row>
    <row r="10" spans="2:9">
      <c r="B10" s="110" t="s">
        <v>67</v>
      </c>
      <c r="C10" s="111"/>
      <c r="D10" s="111"/>
      <c r="E10" s="111"/>
      <c r="F10" s="111"/>
      <c r="G10" s="111"/>
      <c r="H10" s="111"/>
      <c r="I10" s="111"/>
    </row>
    <row r="11" spans="2:9">
      <c r="B11" s="111" t="s">
        <v>68</v>
      </c>
      <c r="C11" s="112">
        <f>C5/('Income Statement'!C7/365)</f>
        <v>25.138069264856973</v>
      </c>
      <c r="D11" s="112">
        <f>D5/('Income Statement'!D7/365)</f>
        <v>18.664807102060713</v>
      </c>
      <c r="E11" s="112">
        <f>AVERAGE($C11:$D11)</f>
        <v>21.901438183458843</v>
      </c>
      <c r="F11" s="112">
        <f t="shared" ref="F11:I13" si="1">AVERAGE($C11:$D11)</f>
        <v>21.901438183458843</v>
      </c>
      <c r="G11" s="112">
        <f t="shared" si="1"/>
        <v>21.901438183458843</v>
      </c>
      <c r="H11" s="112">
        <f t="shared" si="1"/>
        <v>21.901438183458843</v>
      </c>
      <c r="I11" s="112">
        <f t="shared" si="1"/>
        <v>21.901438183458843</v>
      </c>
    </row>
    <row r="12" spans="2:9">
      <c r="B12" s="111" t="s">
        <v>69</v>
      </c>
      <c r="C12" s="112">
        <f>-C6/('Income Statement'!C$8/365)</f>
        <v>23.952692985678606</v>
      </c>
      <c r="D12" s="112">
        <f>-D6/('Income Statement'!D$8/365)</f>
        <v>26.312115690246159</v>
      </c>
      <c r="E12" s="112">
        <f t="shared" ref="E12:E13" si="2">AVERAGE($C12:$D12)</f>
        <v>25.132404337962384</v>
      </c>
      <c r="F12" s="112">
        <f t="shared" si="1"/>
        <v>25.132404337962384</v>
      </c>
      <c r="G12" s="112">
        <f t="shared" si="1"/>
        <v>25.132404337962384</v>
      </c>
      <c r="H12" s="112">
        <f t="shared" si="1"/>
        <v>25.132404337962384</v>
      </c>
      <c r="I12" s="112">
        <f t="shared" si="1"/>
        <v>25.132404337962384</v>
      </c>
    </row>
    <row r="13" spans="2:9">
      <c r="B13" s="111" t="s">
        <v>70</v>
      </c>
      <c r="C13" s="112">
        <f>-C7/('Income Statement'!C$8/365)</f>
        <v>49.414758112718829</v>
      </c>
      <c r="D13" s="112">
        <f>-D7/('Income Statement'!D$8/365)</f>
        <v>80.235176994993523</v>
      </c>
      <c r="E13" s="112">
        <f t="shared" si="2"/>
        <v>64.824967553856169</v>
      </c>
      <c r="F13" s="112">
        <f t="shared" si="1"/>
        <v>64.824967553856169</v>
      </c>
      <c r="G13" s="112">
        <f t="shared" si="1"/>
        <v>64.824967553856169</v>
      </c>
      <c r="H13" s="112">
        <f t="shared" si="1"/>
        <v>64.824967553856169</v>
      </c>
      <c r="I13" s="112">
        <f t="shared" si="1"/>
        <v>64.824967553856169</v>
      </c>
    </row>
    <row r="14" spans="2:9">
      <c r="B14" s="113" t="s">
        <v>66</v>
      </c>
      <c r="C14" s="112">
        <f t="shared" ref="C14:I14" si="3">C11+C12-C13</f>
        <v>-0.32399586218325283</v>
      </c>
      <c r="D14" s="112">
        <f t="shared" si="3"/>
        <v>-35.258254202686651</v>
      </c>
      <c r="E14" s="112">
        <f t="shared" si="3"/>
        <v>-17.791125032434941</v>
      </c>
      <c r="F14" s="112">
        <f t="shared" si="3"/>
        <v>-17.791125032434941</v>
      </c>
      <c r="G14" s="112">
        <f t="shared" si="3"/>
        <v>-17.791125032434941</v>
      </c>
      <c r="H14" s="112">
        <f t="shared" si="3"/>
        <v>-17.791125032434941</v>
      </c>
      <c r="I14" s="112">
        <f t="shared" si="3"/>
        <v>-17.791125032434941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D39E7-D5BD-433E-85B5-028BCB7CA27E}">
  <dimension ref="B1:L27"/>
  <sheetViews>
    <sheetView workbookViewId="0">
      <selection activeCell="G4" sqref="G4"/>
    </sheetView>
  </sheetViews>
  <sheetFormatPr defaultRowHeight="12"/>
  <cols>
    <col min="1" max="1" width="2" style="1" customWidth="1"/>
    <col min="2" max="2" width="19.140625" style="1" customWidth="1"/>
    <col min="3" max="12" width="13.7109375" style="1" customWidth="1"/>
    <col min="13" max="16384" width="9.140625" style="1"/>
  </cols>
  <sheetData>
    <row r="1" spans="2:9" ht="15.75">
      <c r="B1" s="2" t="s">
        <v>82</v>
      </c>
    </row>
    <row r="3" spans="2:9">
      <c r="B3" s="6" t="s">
        <v>96</v>
      </c>
    </row>
    <row r="5" spans="2:9">
      <c r="B5" s="10"/>
      <c r="C5" s="31" t="s">
        <v>52</v>
      </c>
      <c r="D5" s="31" t="s">
        <v>53</v>
      </c>
      <c r="E5" s="31" t="s">
        <v>54</v>
      </c>
      <c r="F5" s="31" t="s">
        <v>55</v>
      </c>
      <c r="G5" s="31" t="s">
        <v>56</v>
      </c>
      <c r="H5" s="31" t="s">
        <v>57</v>
      </c>
      <c r="I5" s="31" t="s">
        <v>58</v>
      </c>
    </row>
    <row r="6" spans="2:9" ht="15.75" customHeight="1" thickBot="1">
      <c r="B6" s="15" t="s">
        <v>92</v>
      </c>
      <c r="C6" s="130"/>
      <c r="D6" s="130"/>
      <c r="E6" s="130" t="s">
        <v>2</v>
      </c>
      <c r="F6" s="130"/>
      <c r="G6" s="130"/>
      <c r="H6" s="130"/>
      <c r="I6" s="130"/>
    </row>
    <row r="7" spans="2:9">
      <c r="B7" s="1" t="s">
        <v>91</v>
      </c>
      <c r="C7" s="16"/>
      <c r="D7" s="16"/>
      <c r="E7" s="16">
        <f>D10</f>
        <v>630148</v>
      </c>
      <c r="F7" s="16">
        <f>E10</f>
        <v>601754.1011252515</v>
      </c>
      <c r="G7" s="16">
        <f>F10</f>
        <v>570963.81432018813</v>
      </c>
      <c r="H7" s="16">
        <f>G10</f>
        <v>537574.88926554681</v>
      </c>
      <c r="I7" s="16">
        <f>H10</f>
        <v>501368.00612208969</v>
      </c>
    </row>
    <row r="8" spans="2:9">
      <c r="B8" s="1" t="s">
        <v>93</v>
      </c>
      <c r="C8" s="16"/>
      <c r="D8" s="16"/>
      <c r="E8" s="16">
        <f>'Income Statement'!E17</f>
        <v>-28393.898874748498</v>
      </c>
      <c r="F8" s="16">
        <f>'Income Statement'!F17</f>
        <v>-30790.28680506337</v>
      </c>
      <c r="G8" s="16">
        <f>'Income Statement'!G17</f>
        <v>-33388.925054641324</v>
      </c>
      <c r="H8" s="16">
        <f>'Income Statement'!H17</f>
        <v>-36206.883143457118</v>
      </c>
      <c r="I8" s="16">
        <f>'Income Statement'!I17</f>
        <v>-39262.671224623919</v>
      </c>
    </row>
    <row r="9" spans="2:9">
      <c r="B9" s="1" t="s">
        <v>94</v>
      </c>
      <c r="C9" s="16"/>
      <c r="D9" s="16"/>
      <c r="E9" s="16">
        <v>0</v>
      </c>
      <c r="F9" s="16">
        <v>0</v>
      </c>
      <c r="G9" s="16">
        <v>0</v>
      </c>
      <c r="H9" s="16">
        <v>0</v>
      </c>
      <c r="I9" s="16">
        <v>0</v>
      </c>
    </row>
    <row r="10" spans="2:9" ht="12.75" thickBot="1">
      <c r="B10" s="7" t="s">
        <v>92</v>
      </c>
      <c r="C10" s="32"/>
      <c r="D10" s="32">
        <f>'Financial Position'!D31</f>
        <v>630148</v>
      </c>
      <c r="E10" s="32">
        <f>SUM(E7:E9)</f>
        <v>601754.1011252515</v>
      </c>
      <c r="F10" s="32">
        <f>SUM(F7:F9)</f>
        <v>570963.81432018813</v>
      </c>
      <c r="G10" s="32">
        <f>SUM(G7:G9)</f>
        <v>537574.88926554681</v>
      </c>
      <c r="H10" s="32">
        <f>SUM(H7:H9)</f>
        <v>501368.00612208969</v>
      </c>
      <c r="I10" s="32">
        <f>SUM(I7:I9)</f>
        <v>462105.33489746577</v>
      </c>
    </row>
    <row r="12" spans="2:9">
      <c r="B12" s="6" t="s">
        <v>127</v>
      </c>
    </row>
    <row r="14" spans="2:9">
      <c r="B14" s="10"/>
      <c r="C14" s="31" t="s">
        <v>52</v>
      </c>
      <c r="D14" s="31" t="s">
        <v>53</v>
      </c>
      <c r="E14" s="31" t="s">
        <v>54</v>
      </c>
      <c r="F14" s="31" t="s">
        <v>55</v>
      </c>
      <c r="G14" s="31" t="s">
        <v>56</v>
      </c>
      <c r="H14" s="31" t="s">
        <v>57</v>
      </c>
      <c r="I14" s="31" t="s">
        <v>58</v>
      </c>
    </row>
    <row r="15" spans="2:9" ht="15.75" customHeight="1" thickBot="1">
      <c r="B15" s="49" t="s">
        <v>95</v>
      </c>
      <c r="C15" s="130"/>
      <c r="D15" s="130"/>
      <c r="E15" s="130" t="s">
        <v>2</v>
      </c>
      <c r="F15" s="130"/>
      <c r="G15" s="130"/>
      <c r="H15" s="130"/>
      <c r="I15" s="130"/>
    </row>
    <row r="16" spans="2:9">
      <c r="B16" s="1" t="s">
        <v>91</v>
      </c>
      <c r="E16" s="16">
        <f t="shared" ref="E16:I17" si="0">E7</f>
        <v>630148</v>
      </c>
      <c r="F16" s="16">
        <f t="shared" si="0"/>
        <v>601754.1011252515</v>
      </c>
      <c r="G16" s="16">
        <f t="shared" si="0"/>
        <v>570963.81432018813</v>
      </c>
      <c r="H16" s="16">
        <f t="shared" si="0"/>
        <v>537574.88926554681</v>
      </c>
      <c r="I16" s="16">
        <f t="shared" si="0"/>
        <v>501368.00612208969</v>
      </c>
    </row>
    <row r="17" spans="2:12">
      <c r="B17" s="1" t="s">
        <v>93</v>
      </c>
      <c r="E17" s="16">
        <f t="shared" si="0"/>
        <v>-28393.898874748498</v>
      </c>
      <c r="F17" s="16">
        <f t="shared" si="0"/>
        <v>-30790.28680506337</v>
      </c>
      <c r="G17" s="16">
        <f t="shared" si="0"/>
        <v>-33388.925054641324</v>
      </c>
      <c r="H17" s="16">
        <f t="shared" si="0"/>
        <v>-36206.883143457118</v>
      </c>
      <c r="I17" s="16">
        <f t="shared" si="0"/>
        <v>-39262.671224623919</v>
      </c>
    </row>
    <row r="18" spans="2:12">
      <c r="B18" s="1" t="s">
        <v>92</v>
      </c>
      <c r="E18" s="16">
        <f>-E10</f>
        <v>-601754.1011252515</v>
      </c>
      <c r="F18" s="16">
        <f>-F10</f>
        <v>-570963.81432018813</v>
      </c>
      <c r="G18" s="16">
        <f>-G10</f>
        <v>-537574.88926554681</v>
      </c>
      <c r="H18" s="16">
        <f>-H10</f>
        <v>-501368.00612208969</v>
      </c>
      <c r="I18" s="16">
        <f>-I10</f>
        <v>-462105.33489746577</v>
      </c>
    </row>
    <row r="19" spans="2:12" ht="12.75" thickBot="1">
      <c r="B19" s="7" t="s">
        <v>95</v>
      </c>
      <c r="C19" s="32"/>
      <c r="D19" s="32"/>
      <c r="E19" s="32">
        <f>SUM(E16:E18)</f>
        <v>0</v>
      </c>
      <c r="F19" s="32">
        <f>SUM(F16:F18)</f>
        <v>0</v>
      </c>
      <c r="G19" s="32">
        <f>SUM(G16:G18)</f>
        <v>0</v>
      </c>
      <c r="H19" s="32">
        <f>SUM(H16:H18)</f>
        <v>0</v>
      </c>
      <c r="I19" s="32">
        <f>SUM(I16:I18)</f>
        <v>0</v>
      </c>
    </row>
    <row r="22" spans="2:12">
      <c r="H22" s="16"/>
      <c r="I22" s="16"/>
      <c r="J22" s="16"/>
      <c r="K22" s="16"/>
      <c r="L22" s="16"/>
    </row>
    <row r="23" spans="2:12">
      <c r="H23" s="16"/>
      <c r="I23" s="16"/>
      <c r="J23" s="16"/>
      <c r="K23" s="16"/>
      <c r="L23" s="16"/>
    </row>
    <row r="24" spans="2:12">
      <c r="H24" s="16"/>
      <c r="I24" s="16"/>
      <c r="J24" s="16"/>
      <c r="K24" s="16"/>
      <c r="L24" s="16"/>
    </row>
    <row r="25" spans="2:12">
      <c r="H25" s="16"/>
      <c r="I25" s="16"/>
      <c r="J25" s="16"/>
      <c r="K25" s="16"/>
      <c r="L25" s="16"/>
    </row>
    <row r="26" spans="2:12">
      <c r="H26" s="16"/>
      <c r="I26" s="16"/>
      <c r="J26" s="16"/>
      <c r="K26" s="16"/>
      <c r="L26" s="16"/>
    </row>
    <row r="27" spans="2:12">
      <c r="H27" s="16"/>
      <c r="I27" s="16"/>
      <c r="J27" s="16"/>
      <c r="K27" s="16"/>
      <c r="L27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6311-8E6F-4E39-A07A-3EE6B748F48F}">
  <dimension ref="B1:L24"/>
  <sheetViews>
    <sheetView workbookViewId="0">
      <selection activeCell="G30" sqref="G30"/>
    </sheetView>
  </sheetViews>
  <sheetFormatPr defaultRowHeight="12"/>
  <cols>
    <col min="1" max="1" width="2" style="1" customWidth="1"/>
    <col min="2" max="2" width="28.42578125" style="1" bestFit="1" customWidth="1"/>
    <col min="3" max="11" width="11.7109375" style="1" customWidth="1"/>
    <col min="12" max="12" width="13.5703125" style="1" bestFit="1" customWidth="1"/>
    <col min="13" max="16384" width="9.140625" style="1"/>
  </cols>
  <sheetData>
    <row r="1" spans="2:12" ht="15.75">
      <c r="B1" s="67" t="s">
        <v>99</v>
      </c>
      <c r="C1" s="71"/>
      <c r="D1" s="74"/>
      <c r="E1" s="74"/>
      <c r="F1" s="74"/>
      <c r="G1" s="74"/>
      <c r="H1" s="74"/>
      <c r="I1" s="74"/>
      <c r="J1" s="74"/>
      <c r="K1" s="74"/>
      <c r="L1" s="74"/>
    </row>
    <row r="4" spans="2:12">
      <c r="B4" s="68" t="s">
        <v>100</v>
      </c>
      <c r="C4" s="69">
        <f>Drivers!C7</f>
        <v>0.14634</v>
      </c>
      <c r="D4" s="74"/>
      <c r="E4" s="74"/>
      <c r="F4" s="74"/>
      <c r="G4" s="74"/>
      <c r="H4" s="74"/>
      <c r="I4" s="74"/>
      <c r="J4" s="74"/>
      <c r="K4" s="74"/>
      <c r="L4" s="74"/>
    </row>
    <row r="5" spans="2:12">
      <c r="B5" s="68" t="s">
        <v>38</v>
      </c>
      <c r="C5" s="69">
        <f>Drivers!C8</f>
        <v>0.08</v>
      </c>
      <c r="D5" s="74"/>
      <c r="E5" s="74"/>
      <c r="F5" s="74"/>
      <c r="G5" s="74"/>
      <c r="H5" s="74"/>
      <c r="I5" s="74"/>
      <c r="J5" s="74"/>
      <c r="K5" s="74"/>
      <c r="L5" s="74"/>
    </row>
    <row r="6" spans="2:12">
      <c r="B6" s="68" t="s">
        <v>134</v>
      </c>
      <c r="C6" s="68">
        <f>Drivers!C9</f>
        <v>0.24</v>
      </c>
      <c r="D6" s="74"/>
      <c r="E6" s="74"/>
      <c r="F6" s="74"/>
      <c r="G6" s="74"/>
      <c r="H6" s="74"/>
      <c r="I6" s="74"/>
      <c r="J6" s="74"/>
      <c r="K6" s="74"/>
      <c r="L6" s="74"/>
    </row>
    <row r="7" spans="2:12">
      <c r="B7" s="68" t="s">
        <v>101</v>
      </c>
      <c r="C7" s="70">
        <f>Drivers!C10</f>
        <v>0.3</v>
      </c>
      <c r="D7" s="74"/>
      <c r="E7" s="74"/>
      <c r="F7" s="74"/>
      <c r="G7" s="74"/>
      <c r="H7" s="74"/>
      <c r="I7" s="74"/>
      <c r="J7" s="74"/>
      <c r="K7" s="74"/>
      <c r="L7" s="74"/>
    </row>
    <row r="9" spans="2:12">
      <c r="B9" s="71" t="s">
        <v>102</v>
      </c>
      <c r="C9" s="72">
        <f>C4+C6*C5</f>
        <v>0.16553999999999999</v>
      </c>
      <c r="D9" s="74"/>
      <c r="E9" s="74"/>
      <c r="F9" s="74"/>
      <c r="G9" s="74"/>
      <c r="H9" s="74"/>
      <c r="I9" s="74"/>
      <c r="J9" s="74"/>
      <c r="K9" s="74"/>
      <c r="L9" s="74"/>
    </row>
    <row r="10" spans="2:12">
      <c r="B10" s="71" t="s">
        <v>106</v>
      </c>
      <c r="C10" s="72">
        <f>Drivers!C6</f>
        <v>0.1588</v>
      </c>
      <c r="D10" s="74"/>
      <c r="E10" s="74"/>
      <c r="F10" s="74"/>
      <c r="G10" s="74"/>
      <c r="H10" s="74"/>
      <c r="I10" s="74"/>
      <c r="J10" s="74"/>
      <c r="K10" s="74"/>
      <c r="L10" s="74"/>
    </row>
    <row r="12" spans="2:12">
      <c r="B12" s="10"/>
      <c r="C12" s="31"/>
      <c r="D12" s="31"/>
      <c r="E12" s="31"/>
      <c r="F12" s="31" t="s">
        <v>52</v>
      </c>
      <c r="G12" s="31" t="s">
        <v>53</v>
      </c>
      <c r="H12" s="31" t="s">
        <v>54</v>
      </c>
      <c r="I12" s="31" t="s">
        <v>55</v>
      </c>
      <c r="J12" s="31" t="s">
        <v>56</v>
      </c>
      <c r="K12" s="31" t="s">
        <v>57</v>
      </c>
      <c r="L12" s="31" t="s">
        <v>58</v>
      </c>
    </row>
    <row r="13" spans="2:12" ht="15.75" customHeight="1" thickBot="1">
      <c r="B13" s="15"/>
      <c r="C13" s="130"/>
      <c r="D13" s="130"/>
      <c r="E13" s="130"/>
      <c r="F13" s="130"/>
      <c r="G13" s="130"/>
      <c r="H13" s="130"/>
      <c r="I13" s="130" t="s">
        <v>2</v>
      </c>
      <c r="J13" s="130"/>
      <c r="K13" s="130"/>
      <c r="L13" s="130"/>
    </row>
    <row r="14" spans="2:12" s="75" customFormat="1">
      <c r="B14" s="76" t="s">
        <v>81</v>
      </c>
      <c r="C14" s="37"/>
      <c r="D14" s="37"/>
      <c r="E14" s="37"/>
      <c r="F14" s="37">
        <f>'Financial Position'!C42</f>
        <v>1004006</v>
      </c>
      <c r="G14" s="37">
        <f>'Financial Position'!D42</f>
        <v>1341158</v>
      </c>
      <c r="H14" s="37">
        <f>'Financial Position'!E42</f>
        <v>1237392.6323726806</v>
      </c>
      <c r="I14" s="37">
        <f>'Financial Position'!F42</f>
        <v>1293785.22683192</v>
      </c>
      <c r="J14" s="37">
        <f>'Financial Position'!G42</f>
        <v>1354937.2427893262</v>
      </c>
      <c r="K14" s="37">
        <f>'Financial Position'!H42</f>
        <v>1421250.3658423508</v>
      </c>
      <c r="L14" s="37">
        <f>'Financial Position'!I42</f>
        <v>1493160.1830445917</v>
      </c>
    </row>
    <row r="15" spans="2:12" s="16" customFormat="1">
      <c r="B15" s="77" t="s">
        <v>82</v>
      </c>
      <c r="C15" s="78"/>
      <c r="D15" s="78"/>
      <c r="E15" s="78"/>
      <c r="F15" s="78">
        <f>'Financial Position'!C31</f>
        <v>668903</v>
      </c>
      <c r="G15" s="78">
        <f>'Financial Position'!D31</f>
        <v>630148</v>
      </c>
      <c r="H15" s="78">
        <f>'Financial Position'!E31</f>
        <v>601754.1011252515</v>
      </c>
      <c r="I15" s="78">
        <f>'Financial Position'!F31</f>
        <v>570963.81432018813</v>
      </c>
      <c r="J15" s="78">
        <f>'Financial Position'!G31</f>
        <v>537574.88926554681</v>
      </c>
      <c r="K15" s="78">
        <f>'Financial Position'!H31</f>
        <v>501368.00612208969</v>
      </c>
      <c r="L15" s="78">
        <f>'Financial Position'!I31</f>
        <v>462105.33489746577</v>
      </c>
    </row>
    <row r="16" spans="2:12" s="16" customFormat="1">
      <c r="B16" s="81"/>
      <c r="C16" s="81"/>
      <c r="D16" s="81"/>
      <c r="E16" s="81"/>
      <c r="F16" s="81">
        <f t="shared" ref="F16:L16" si="0">SUM(F14:F15)</f>
        <v>1672909</v>
      </c>
      <c r="G16" s="81">
        <f t="shared" si="0"/>
        <v>1971306</v>
      </c>
      <c r="H16" s="81">
        <f t="shared" si="0"/>
        <v>1839146.7334979321</v>
      </c>
      <c r="I16" s="81">
        <f t="shared" si="0"/>
        <v>1864749.041152108</v>
      </c>
      <c r="J16" s="81">
        <f t="shared" si="0"/>
        <v>1892512.132054873</v>
      </c>
      <c r="K16" s="81">
        <f t="shared" si="0"/>
        <v>1922618.3719644404</v>
      </c>
      <c r="L16" s="81">
        <f t="shared" si="0"/>
        <v>1955265.5179420575</v>
      </c>
    </row>
    <row r="17" spans="2:12" s="16" customFormat="1">
      <c r="B17" s="79"/>
      <c r="C17" s="79"/>
      <c r="D17" s="79"/>
      <c r="E17" s="79"/>
      <c r="F17" s="79"/>
      <c r="G17" s="79"/>
      <c r="H17" s="77"/>
      <c r="I17" s="77"/>
      <c r="J17" s="77"/>
      <c r="K17" s="77"/>
      <c r="L17" s="77"/>
    </row>
    <row r="18" spans="2:12" s="16" customFormat="1">
      <c r="B18" s="77" t="s">
        <v>103</v>
      </c>
      <c r="C18" s="82"/>
      <c r="D18" s="82"/>
      <c r="E18" s="82"/>
      <c r="F18" s="82">
        <f t="shared" ref="F18:L18" si="1">F14/F$16</f>
        <v>0.60015577655449281</v>
      </c>
      <c r="G18" s="82">
        <f t="shared" si="1"/>
        <v>0.680339835621664</v>
      </c>
      <c r="H18" s="82">
        <f t="shared" si="1"/>
        <v>0.67280799831519911</v>
      </c>
      <c r="I18" s="82">
        <f t="shared" si="1"/>
        <v>0.69381198128010491</v>
      </c>
      <c r="J18" s="82">
        <f t="shared" si="1"/>
        <v>0.71594639729899501</v>
      </c>
      <c r="K18" s="82">
        <f t="shared" si="1"/>
        <v>0.73922645625724692</v>
      </c>
      <c r="L18" s="82">
        <f t="shared" si="1"/>
        <v>0.76366108303089308</v>
      </c>
    </row>
    <row r="19" spans="2:12" s="16" customFormat="1">
      <c r="B19" s="77" t="s">
        <v>104</v>
      </c>
      <c r="C19" s="82"/>
      <c r="D19" s="82"/>
      <c r="E19" s="82"/>
      <c r="F19" s="82">
        <f t="shared" ref="F19:L19" si="2">F15/F$16</f>
        <v>0.39984422344550719</v>
      </c>
      <c r="G19" s="82">
        <f t="shared" si="2"/>
        <v>0.319660164378336</v>
      </c>
      <c r="H19" s="82">
        <f t="shared" si="2"/>
        <v>0.32719200168480089</v>
      </c>
      <c r="I19" s="82">
        <f t="shared" si="2"/>
        <v>0.30618801871989515</v>
      </c>
      <c r="J19" s="82">
        <f t="shared" si="2"/>
        <v>0.28405360270100499</v>
      </c>
      <c r="K19" s="82">
        <f t="shared" si="2"/>
        <v>0.26077354374275308</v>
      </c>
      <c r="L19" s="82">
        <f t="shared" si="2"/>
        <v>0.23633891696910692</v>
      </c>
    </row>
    <row r="20" spans="2:12" s="16" customFormat="1">
      <c r="B20" s="77"/>
      <c r="C20" s="82"/>
      <c r="D20" s="82"/>
      <c r="E20" s="82"/>
      <c r="F20" s="82"/>
      <c r="G20" s="82"/>
      <c r="H20" s="82"/>
      <c r="I20" s="82"/>
      <c r="J20" s="82"/>
      <c r="K20" s="82"/>
      <c r="L20" s="82"/>
    </row>
    <row r="21" spans="2:12" s="16" customFormat="1">
      <c r="B21" s="77" t="s">
        <v>105</v>
      </c>
      <c r="C21" s="77"/>
      <c r="D21" s="77"/>
      <c r="E21" s="77"/>
      <c r="F21" s="77"/>
      <c r="G21" s="77"/>
      <c r="H21" s="73">
        <f>$C$10</f>
        <v>0.1588</v>
      </c>
      <c r="I21" s="73">
        <f>$C$10</f>
        <v>0.1588</v>
      </c>
      <c r="J21" s="73">
        <f>$C$10</f>
        <v>0.1588</v>
      </c>
      <c r="K21" s="73">
        <f>$C$10</f>
        <v>0.1588</v>
      </c>
      <c r="L21" s="73">
        <f>$C$10</f>
        <v>0.1588</v>
      </c>
    </row>
    <row r="22" spans="2:12" s="16" customFormat="1">
      <c r="B22" s="77" t="s">
        <v>102</v>
      </c>
      <c r="C22" s="77"/>
      <c r="D22" s="77"/>
      <c r="E22" s="77"/>
      <c r="F22" s="77"/>
      <c r="G22" s="77"/>
      <c r="H22" s="73">
        <f>$C$9</f>
        <v>0.16553999999999999</v>
      </c>
      <c r="I22" s="73">
        <f>$C$9</f>
        <v>0.16553999999999999</v>
      </c>
      <c r="J22" s="73">
        <f>$C$9</f>
        <v>0.16553999999999999</v>
      </c>
      <c r="K22" s="73">
        <f>$C$9</f>
        <v>0.16553999999999999</v>
      </c>
      <c r="L22" s="73">
        <f>$C$9</f>
        <v>0.16553999999999999</v>
      </c>
    </row>
    <row r="23" spans="2:12" s="16" customFormat="1">
      <c r="B23" s="79"/>
      <c r="C23" s="79"/>
      <c r="D23" s="79"/>
      <c r="E23" s="79"/>
      <c r="F23" s="79"/>
      <c r="G23" s="77"/>
      <c r="H23" s="77"/>
      <c r="I23" s="77"/>
      <c r="J23" s="77"/>
      <c r="K23" s="77"/>
      <c r="L23" s="77"/>
    </row>
    <row r="24" spans="2:12" s="16" customFormat="1" ht="12.75" thickBot="1">
      <c r="B24" s="80" t="s">
        <v>99</v>
      </c>
      <c r="C24" s="80"/>
      <c r="D24" s="80"/>
      <c r="E24" s="80"/>
      <c r="F24" s="80"/>
      <c r="G24" s="80"/>
      <c r="H24" s="83">
        <f>(H18*H21*(1-C7))+(H19*H22)</f>
        <v>0.12895270105161946</v>
      </c>
      <c r="I24" s="83">
        <f>(I18*I21*(1-D7))+(I19*I22)</f>
        <v>0.16086370724617211</v>
      </c>
      <c r="J24" s="83">
        <f>(J18*J21*(1-E7))+(J19*J22)</f>
        <v>0.16071452128220476</v>
      </c>
      <c r="K24" s="83">
        <f>(K18*K21*(1-F7))+(K19*K22)</f>
        <v>0.16055761368482616</v>
      </c>
      <c r="L24" s="83">
        <f>(L18*L21*(1-G7))+(L19*L22)</f>
        <v>0.16039292430037178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A9194B-C83B-431B-9E9E-30F0D13BE4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Index</vt:lpstr>
      <vt:lpstr>Drivers</vt:lpstr>
      <vt:lpstr>Income Statement</vt:lpstr>
      <vt:lpstr>Financial Position</vt:lpstr>
      <vt:lpstr>DCF Valuation</vt:lpstr>
      <vt:lpstr>Workings -&gt;</vt:lpstr>
      <vt:lpstr>PPE</vt:lpstr>
      <vt:lpstr>WC</vt:lpstr>
      <vt:lpstr>CIE</vt:lpstr>
      <vt:lpstr>WACC</vt:lpstr>
      <vt:lpstr>PBT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MUHAMMAD USMAN</dc:creator>
  <cp:lastModifiedBy>HAFIZ MUHAMMAD USMAN</cp:lastModifiedBy>
  <dcterms:created xsi:type="dcterms:W3CDTF">2023-10-26T13:45:57Z</dcterms:created>
  <dcterms:modified xsi:type="dcterms:W3CDTF">2024-04-18T04:47:11Z</dcterms:modified>
</cp:coreProperties>
</file>